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35\EXCELCNV\7de9ad53-356c-479e-90d3-b410598e970f\"/>
    </mc:Choice>
  </mc:AlternateContent>
  <xr:revisionPtr revIDLastSave="0" documentId="8_{D2F72FA8-7048-4B4D-A2B7-7A5733E3E23C}" xr6:coauthVersionLast="47" xr6:coauthVersionMax="47" xr10:uidLastSave="{00000000-0000-0000-0000-000000000000}"/>
  <bookViews>
    <workbookView xWindow="-60" yWindow="-60" windowWidth="15480" windowHeight="11640" firstSheet="3" activeTab="1" xr2:uid="{DE63ED4A-288E-43AA-8133-1F0846E333F0}"/>
  </bookViews>
  <sheets>
    <sheet name="TRATAMENTO" sheetId="4" r:id="rId1"/>
    <sheet name="REGISTRO_LIMPEZA" sheetId="2" r:id="rId2"/>
    <sheet name="DADOS_LIMPOS" sheetId="1" r:id="rId3"/>
    <sheet name="ANÁLISE" sheetId="3" r:id="rId4"/>
  </sheets>
  <definedNames>
    <definedName name="_xlnm._FilterDatabase" localSheetId="2" hidden="1">DADOS_LIMPOS!$C$1:$C$403</definedName>
    <definedName name="_xlchart.v1.0" hidden="1">DADOS_LIMPOS!$J$2:$J$403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2" i="1" l="1"/>
  <c r="P248" i="1"/>
  <c r="P106" i="1"/>
  <c r="P355" i="1"/>
  <c r="P144" i="1"/>
  <c r="P81" i="1"/>
  <c r="P203" i="1"/>
  <c r="P75" i="1"/>
  <c r="P269" i="1"/>
  <c r="P330" i="1"/>
  <c r="P216" i="1"/>
  <c r="P254" i="1"/>
  <c r="P195" i="1"/>
  <c r="P46" i="1"/>
  <c r="P146" i="1"/>
  <c r="P68" i="1"/>
  <c r="P244" i="1"/>
  <c r="P93" i="1"/>
  <c r="P358" i="1"/>
  <c r="P184" i="1"/>
  <c r="P161" i="1"/>
  <c r="P276" i="1"/>
  <c r="P337" i="1"/>
  <c r="P359" i="1"/>
  <c r="P300" i="1"/>
  <c r="P147" i="1"/>
  <c r="P243" i="1"/>
  <c r="P217" i="1"/>
  <c r="P27" i="1"/>
  <c r="P199" i="1"/>
  <c r="P360" i="1"/>
  <c r="P331" i="1"/>
  <c r="P194" i="1"/>
  <c r="P47" i="1"/>
  <c r="P102" i="1"/>
  <c r="P274" i="1"/>
  <c r="P166" i="1"/>
  <c r="P163" i="1"/>
  <c r="P353" i="1"/>
  <c r="P185" i="1"/>
  <c r="P348" i="1"/>
  <c r="P126" i="1"/>
  <c r="P12" i="1"/>
  <c r="P10" i="1"/>
  <c r="P28" i="1"/>
  <c r="P3" i="1"/>
  <c r="P289" i="1"/>
  <c r="P326" i="1"/>
  <c r="P230" i="1"/>
  <c r="P37" i="1"/>
  <c r="P257" i="1"/>
  <c r="P113" i="1"/>
  <c r="P176" i="1"/>
  <c r="P181" i="1"/>
  <c r="P55" i="1"/>
  <c r="P262" i="1"/>
  <c r="P349" i="1"/>
  <c r="P149" i="1"/>
  <c r="P196" i="1"/>
  <c r="P17" i="1"/>
  <c r="P182" i="1"/>
  <c r="P168" i="1"/>
  <c r="P145" i="1"/>
  <c r="P249" i="1"/>
  <c r="P361" i="1"/>
  <c r="P220" i="1"/>
  <c r="P157" i="1"/>
  <c r="P21" i="1"/>
  <c r="P224" i="1"/>
  <c r="P362" i="1"/>
  <c r="P317" i="1"/>
  <c r="P298" i="1"/>
  <c r="P255" i="1"/>
  <c r="P58" i="1"/>
  <c r="P11" i="1"/>
  <c r="P342" i="1"/>
  <c r="P48" i="1"/>
  <c r="P341" i="1"/>
  <c r="P316" i="1"/>
  <c r="P211" i="1"/>
  <c r="P284" i="1"/>
  <c r="P332" i="1"/>
  <c r="P128" i="1"/>
  <c r="P120" i="1"/>
  <c r="P290" i="1"/>
  <c r="P363" i="1"/>
  <c r="P84" i="1"/>
  <c r="P318" i="1"/>
  <c r="P192" i="1"/>
  <c r="P214" i="1"/>
  <c r="P241" i="1"/>
  <c r="P54" i="1"/>
  <c r="P150" i="1"/>
  <c r="P278" i="1"/>
  <c r="P73" i="1"/>
  <c r="P333" i="1"/>
  <c r="P44" i="1"/>
  <c r="P138" i="1"/>
  <c r="P78" i="1"/>
  <c r="P171" i="1"/>
  <c r="P104" i="1"/>
  <c r="P77" i="1"/>
  <c r="P343" i="1"/>
  <c r="P307" i="1"/>
  <c r="P131" i="1"/>
  <c r="P323" i="1"/>
  <c r="P231" i="1"/>
  <c r="P190" i="1"/>
  <c r="P42" i="1"/>
  <c r="P221" i="1"/>
  <c r="P208" i="1"/>
  <c r="P18" i="1"/>
  <c r="P338" i="1"/>
  <c r="P154" i="1"/>
  <c r="P225" i="1"/>
  <c r="P283" i="1"/>
  <c r="P139" i="1"/>
  <c r="P19" i="1"/>
  <c r="P16" i="1"/>
  <c r="P69" i="1"/>
  <c r="P148" i="1"/>
  <c r="P265" i="1"/>
  <c r="P297" i="1"/>
  <c r="P80" i="1"/>
  <c r="P129" i="1"/>
  <c r="P314" i="1"/>
  <c r="P279" i="1"/>
  <c r="P292" i="1"/>
  <c r="P327" i="1"/>
  <c r="P321" i="1"/>
  <c r="P13" i="1"/>
  <c r="P364" i="1"/>
  <c r="P235" i="1"/>
  <c r="P56" i="1"/>
  <c r="P59" i="1"/>
  <c r="P122" i="1"/>
  <c r="P60" i="1"/>
  <c r="P30" i="1"/>
  <c r="P264" i="1"/>
  <c r="P29" i="1"/>
  <c r="P125" i="1"/>
  <c r="P151" i="1"/>
  <c r="P7" i="1"/>
  <c r="P173" i="1"/>
  <c r="P31" i="1"/>
  <c r="P38" i="1"/>
  <c r="P365" i="1"/>
  <c r="P266" i="1"/>
  <c r="P270" i="1"/>
  <c r="P215" i="1"/>
  <c r="P207" i="1"/>
  <c r="P90" i="1"/>
  <c r="P339" i="1"/>
  <c r="P85" i="1"/>
  <c r="P305" i="1"/>
  <c r="P263" i="1"/>
  <c r="P8" i="1"/>
  <c r="P6" i="1"/>
  <c r="P302" i="1"/>
  <c r="P103" i="1"/>
  <c r="P51" i="1"/>
  <c r="P9" i="1"/>
  <c r="P71" i="1"/>
  <c r="P34" i="1"/>
  <c r="P251" i="1"/>
  <c r="P50" i="1"/>
  <c r="P79" i="1"/>
  <c r="P366" i="1"/>
  <c r="P259" i="1"/>
  <c r="P291" i="1"/>
  <c r="P32" i="1"/>
  <c r="P36" i="1"/>
  <c r="P197" i="1"/>
  <c r="P227" i="1"/>
  <c r="P114" i="1"/>
  <c r="P127" i="1"/>
  <c r="P310" i="1"/>
  <c r="P14" i="1"/>
  <c r="P295" i="1"/>
  <c r="P219" i="1"/>
  <c r="P226" i="1"/>
  <c r="P286" i="1"/>
  <c r="P25" i="1"/>
  <c r="P238" i="1"/>
  <c r="P22" i="1"/>
  <c r="P299" i="1"/>
  <c r="P267" i="1"/>
  <c r="P105" i="1"/>
  <c r="P155" i="1"/>
  <c r="P311" i="1"/>
  <c r="P141" i="1"/>
  <c r="P334" i="1"/>
  <c r="P49" i="1"/>
  <c r="P206" i="1"/>
  <c r="P97" i="1"/>
  <c r="P109" i="1"/>
  <c r="P134" i="1"/>
  <c r="P188" i="1"/>
  <c r="P156" i="1"/>
  <c r="P222" i="1"/>
  <c r="P70" i="1"/>
  <c r="P83" i="1"/>
  <c r="P135" i="1"/>
  <c r="P100" i="1"/>
  <c r="P121" i="1"/>
  <c r="P209" i="1"/>
  <c r="P158" i="1"/>
  <c r="P210" i="1"/>
  <c r="P162" i="1"/>
  <c r="P240" i="1"/>
  <c r="P4" i="1"/>
  <c r="P169" i="1"/>
  <c r="P285" i="1"/>
  <c r="P39" i="1"/>
  <c r="P88" i="1"/>
  <c r="P82" i="1"/>
  <c r="P5" i="1"/>
  <c r="P137" i="1"/>
  <c r="P345" i="1"/>
  <c r="P280" i="1"/>
  <c r="P325" i="1"/>
  <c r="P198" i="1"/>
  <c r="P136" i="1"/>
  <c r="P52" i="1"/>
  <c r="P183" i="1"/>
  <c r="P170" i="1"/>
  <c r="P228" i="1"/>
  <c r="P350" i="1"/>
  <c r="P301" i="1"/>
  <c r="P87" i="1"/>
  <c r="P95" i="1"/>
  <c r="P40" i="1"/>
  <c r="P23" i="1"/>
  <c r="P200" i="1"/>
  <c r="P91" i="1"/>
  <c r="P189" i="1"/>
  <c r="P178" i="1"/>
  <c r="P65" i="1"/>
  <c r="P320" i="1"/>
  <c r="P232" i="1"/>
  <c r="P245" i="1"/>
  <c r="P152" i="1"/>
  <c r="P110" i="1"/>
  <c r="P236" i="1"/>
  <c r="P201" i="1"/>
  <c r="P281" i="1"/>
  <c r="P246" i="1"/>
  <c r="P335" i="1"/>
  <c r="P153" i="1"/>
  <c r="P172" i="1"/>
  <c r="P63" i="1"/>
  <c r="P287" i="1"/>
  <c r="P328" i="1"/>
  <c r="P315" i="1"/>
  <c r="P45" i="1"/>
  <c r="P260" i="1"/>
  <c r="P43" i="1"/>
  <c r="P252" i="1"/>
  <c r="P89" i="1"/>
  <c r="P253" i="1"/>
  <c r="P344" i="1"/>
  <c r="P57" i="1"/>
  <c r="P312" i="1"/>
  <c r="P233" i="1"/>
  <c r="P187" i="1"/>
  <c r="P367" i="1"/>
  <c r="P61" i="1"/>
  <c r="P116" i="1"/>
  <c r="P346" i="1"/>
  <c r="P159" i="1"/>
  <c r="P92" i="1"/>
  <c r="P143" i="1"/>
  <c r="P258" i="1"/>
  <c r="P26" i="1"/>
  <c r="P174" i="1"/>
  <c r="P2" i="1"/>
  <c r="P67" i="1"/>
  <c r="P313" i="1"/>
  <c r="P293" i="1"/>
  <c r="P275" i="1"/>
  <c r="P132" i="1"/>
  <c r="P351" i="1"/>
  <c r="P164" i="1"/>
  <c r="P74" i="1"/>
  <c r="P115" i="1"/>
  <c r="P96" i="1"/>
  <c r="P160" i="1"/>
  <c r="P142" i="1"/>
  <c r="P35" i="1"/>
  <c r="P336" i="1"/>
  <c r="P218" i="1"/>
  <c r="P304" i="1"/>
  <c r="P282" i="1"/>
  <c r="P167" i="1"/>
  <c r="P329" i="1"/>
  <c r="P180" i="1"/>
  <c r="P271" i="1"/>
  <c r="P202" i="1"/>
  <c r="P272" i="1"/>
  <c r="P256" i="1"/>
  <c r="P123" i="1"/>
  <c r="P133" i="1"/>
  <c r="P140" i="1"/>
  <c r="P324" i="1"/>
  <c r="P179" i="1"/>
  <c r="P354" i="1"/>
  <c r="P76" i="1"/>
  <c r="P33" i="1"/>
  <c r="P340" i="1"/>
  <c r="P64" i="1"/>
  <c r="P296" i="1"/>
  <c r="P98" i="1"/>
  <c r="P247" i="1"/>
  <c r="P277" i="1"/>
  <c r="P117" i="1"/>
  <c r="P124" i="1"/>
  <c r="P352" i="1"/>
  <c r="P204" i="1"/>
  <c r="P237" i="1"/>
  <c r="P24" i="1"/>
  <c r="P322" i="1"/>
  <c r="P288" i="1"/>
  <c r="P223" i="1"/>
  <c r="P250" i="1"/>
  <c r="P212" i="1"/>
  <c r="P268" i="1"/>
  <c r="P261" i="1"/>
  <c r="P41" i="1"/>
  <c r="P66" i="1"/>
  <c r="P118" i="1"/>
  <c r="P94" i="1"/>
  <c r="P107" i="1"/>
  <c r="P356" i="1"/>
  <c r="P86" i="1"/>
  <c r="P20" i="1"/>
  <c r="P62" i="1"/>
  <c r="P193" i="1"/>
  <c r="P177" i="1"/>
  <c r="P15" i="1"/>
  <c r="P99" i="1"/>
  <c r="P319" i="1"/>
  <c r="P368" i="1"/>
  <c r="P308" i="1"/>
  <c r="P53" i="1"/>
  <c r="P165" i="1"/>
  <c r="P273" i="1"/>
  <c r="P130" i="1"/>
  <c r="P72" i="1"/>
  <c r="P303" i="1"/>
  <c r="P234" i="1"/>
  <c r="P213" i="1"/>
  <c r="P294" i="1"/>
  <c r="P306" i="1"/>
  <c r="P347" i="1"/>
  <c r="P101" i="1"/>
  <c r="P119" i="1"/>
  <c r="P239" i="1"/>
  <c r="P186" i="1"/>
  <c r="P369" i="1"/>
  <c r="P108" i="1"/>
  <c r="P111" i="1"/>
  <c r="P370" i="1"/>
  <c r="P205" i="1"/>
  <c r="P309" i="1"/>
  <c r="P242" i="1"/>
  <c r="P191" i="1"/>
  <c r="P229" i="1"/>
  <c r="P371" i="1"/>
  <c r="P372" i="1"/>
  <c r="P373" i="1"/>
  <c r="P357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175" i="1"/>
  <c r="N112" i="1" a="1"/>
  <c r="O112" i="1"/>
  <c r="R112" i="1" a="1"/>
  <c r="N248" i="1" a="1"/>
  <c r="O248" i="1"/>
  <c r="R248" i="1" a="1"/>
  <c r="N106" i="1" a="1"/>
  <c r="O106" i="1"/>
  <c r="R106" i="1" a="1"/>
  <c r="N355" i="1" a="1"/>
  <c r="O355" i="1"/>
  <c r="R355" i="1" a="1"/>
  <c r="N144" i="1" a="1"/>
  <c r="O144" i="1"/>
  <c r="R144" i="1" a="1"/>
  <c r="N81" i="1" a="1"/>
  <c r="O81" i="1"/>
  <c r="R81" i="1" a="1"/>
  <c r="N203" i="1" a="1"/>
  <c r="O203" i="1"/>
  <c r="R203" i="1" a="1"/>
  <c r="N75" i="1" a="1"/>
  <c r="O75" i="1"/>
  <c r="R75" i="1" a="1"/>
  <c r="N269" i="1" a="1"/>
  <c r="O269" i="1"/>
  <c r="R269" i="1" a="1"/>
  <c r="N330" i="1" a="1"/>
  <c r="O330" i="1"/>
  <c r="R330" i="1" a="1"/>
  <c r="N216" i="1" a="1"/>
  <c r="O216" i="1"/>
  <c r="R216" i="1" a="1"/>
  <c r="N254" i="1" a="1"/>
  <c r="O254" i="1"/>
  <c r="R254" i="1" a="1"/>
  <c r="N195" i="1" a="1"/>
  <c r="O195" i="1"/>
  <c r="R195" i="1" a="1"/>
  <c r="N46" i="1" a="1"/>
  <c r="O46" i="1"/>
  <c r="R46" i="1" a="1"/>
  <c r="N146" i="1" a="1"/>
  <c r="O146" i="1"/>
  <c r="R146" i="1" a="1"/>
  <c r="N68" i="1" a="1"/>
  <c r="O68" i="1"/>
  <c r="R68" i="1" a="1"/>
  <c r="N244" i="1" a="1"/>
  <c r="O244" i="1"/>
  <c r="R244" i="1" a="1"/>
  <c r="N93" i="1" a="1"/>
  <c r="O93" i="1"/>
  <c r="R93" i="1" a="1"/>
  <c r="N358" i="1" a="1"/>
  <c r="O358" i="1"/>
  <c r="R358" i="1" a="1"/>
  <c r="N184" i="1" a="1"/>
  <c r="O184" i="1"/>
  <c r="R184" i="1" a="1"/>
  <c r="N161" i="1" a="1"/>
  <c r="O161" i="1"/>
  <c r="R161" i="1" a="1"/>
  <c r="N276" i="1" a="1"/>
  <c r="O276" i="1"/>
  <c r="R276" i="1" a="1"/>
  <c r="N337" i="1" a="1"/>
  <c r="O337" i="1"/>
  <c r="R337" i="1" a="1"/>
  <c r="N359" i="1" a="1"/>
  <c r="O359" i="1"/>
  <c r="R359" i="1" a="1"/>
  <c r="N300" i="1" a="1"/>
  <c r="O300" i="1"/>
  <c r="R300" i="1" a="1"/>
  <c r="N147" i="1" a="1"/>
  <c r="O147" i="1"/>
  <c r="R147" i="1" a="1"/>
  <c r="N243" i="1" a="1"/>
  <c r="O243" i="1"/>
  <c r="R243" i="1" a="1"/>
  <c r="N217" i="1" a="1"/>
  <c r="O217" i="1"/>
  <c r="R217" i="1" a="1"/>
  <c r="N27" i="1" a="1"/>
  <c r="O27" i="1"/>
  <c r="R27" i="1" a="1"/>
  <c r="N199" i="1" a="1"/>
  <c r="O199" i="1"/>
  <c r="R199" i="1" a="1"/>
  <c r="N360" i="1" a="1"/>
  <c r="O360" i="1"/>
  <c r="R360" i="1" a="1"/>
  <c r="N331" i="1" a="1"/>
  <c r="O331" i="1"/>
  <c r="R331" i="1" a="1"/>
  <c r="N194" i="1" a="1"/>
  <c r="O194" i="1"/>
  <c r="R194" i="1" a="1"/>
  <c r="N47" i="1" a="1"/>
  <c r="O47" i="1"/>
  <c r="R47" i="1" a="1"/>
  <c r="N102" i="1" a="1"/>
  <c r="O102" i="1"/>
  <c r="R102" i="1" a="1"/>
  <c r="N274" i="1" a="1"/>
  <c r="O274" i="1"/>
  <c r="R274" i="1" a="1"/>
  <c r="N166" i="1" a="1"/>
  <c r="O166" i="1"/>
  <c r="R166" i="1" a="1"/>
  <c r="N163" i="1" a="1"/>
  <c r="O163" i="1"/>
  <c r="R163" i="1" a="1"/>
  <c r="N353" i="1" a="1"/>
  <c r="O353" i="1"/>
  <c r="R353" i="1" a="1"/>
  <c r="N185" i="1" a="1"/>
  <c r="O185" i="1"/>
  <c r="R185" i="1" a="1"/>
  <c r="N348" i="1" a="1"/>
  <c r="O348" i="1"/>
  <c r="R348" i="1" a="1"/>
  <c r="N126" i="1" a="1"/>
  <c r="O126" i="1"/>
  <c r="R126" i="1" a="1"/>
  <c r="N12" i="1" a="1"/>
  <c r="O12" i="1"/>
  <c r="R12" i="1" a="1"/>
  <c r="N10" i="1" a="1"/>
  <c r="O10" i="1"/>
  <c r="R10" i="1" a="1"/>
  <c r="N28" i="1" a="1"/>
  <c r="O28" i="1"/>
  <c r="R28" i="1" a="1"/>
  <c r="N3" i="1" a="1"/>
  <c r="O3" i="1"/>
  <c r="R3" i="1" a="1"/>
  <c r="N289" i="1" a="1"/>
  <c r="O289" i="1"/>
  <c r="R289" i="1" a="1"/>
  <c r="N326" i="1" a="1"/>
  <c r="O326" i="1"/>
  <c r="R326" i="1" a="1"/>
  <c r="N230" i="1" a="1"/>
  <c r="O230" i="1"/>
  <c r="R230" i="1" a="1"/>
  <c r="N37" i="1" a="1"/>
  <c r="O37" i="1"/>
  <c r="R37" i="1" a="1"/>
  <c r="N257" i="1" a="1"/>
  <c r="O257" i="1"/>
  <c r="R257" i="1" a="1"/>
  <c r="N113" i="1" a="1"/>
  <c r="O113" i="1"/>
  <c r="R113" i="1" a="1"/>
  <c r="N176" i="1" a="1"/>
  <c r="O176" i="1"/>
  <c r="R176" i="1" a="1"/>
  <c r="N181" i="1" a="1"/>
  <c r="O181" i="1"/>
  <c r="R181" i="1" a="1"/>
  <c r="N55" i="1" a="1"/>
  <c r="O55" i="1"/>
  <c r="R55" i="1" a="1"/>
  <c r="N262" i="1" a="1"/>
  <c r="O262" i="1"/>
  <c r="R262" i="1" a="1"/>
  <c r="N349" i="1" a="1"/>
  <c r="O349" i="1"/>
  <c r="R349" i="1" a="1"/>
  <c r="N149" i="1" a="1"/>
  <c r="O149" i="1"/>
  <c r="R149" i="1" a="1"/>
  <c r="N196" i="1" a="1"/>
  <c r="O196" i="1"/>
  <c r="R196" i="1" a="1"/>
  <c r="N17" i="1" a="1"/>
  <c r="O17" i="1"/>
  <c r="R17" i="1" a="1"/>
  <c r="N182" i="1" a="1"/>
  <c r="O182" i="1"/>
  <c r="R182" i="1" a="1"/>
  <c r="N168" i="1" a="1"/>
  <c r="O168" i="1"/>
  <c r="R168" i="1" a="1"/>
  <c r="N145" i="1" a="1"/>
  <c r="O145" i="1"/>
  <c r="R145" i="1" a="1"/>
  <c r="N249" i="1" a="1"/>
  <c r="O249" i="1"/>
  <c r="R249" i="1" a="1"/>
  <c r="N361" i="1" a="1"/>
  <c r="O361" i="1"/>
  <c r="R361" i="1" a="1"/>
  <c r="N220" i="1" a="1"/>
  <c r="O220" i="1"/>
  <c r="R220" i="1" a="1"/>
  <c r="N157" i="1" a="1"/>
  <c r="O157" i="1"/>
  <c r="R157" i="1" a="1"/>
  <c r="N21" i="1" a="1"/>
  <c r="O21" i="1"/>
  <c r="R21" i="1" a="1"/>
  <c r="N224" i="1" a="1"/>
  <c r="O224" i="1"/>
  <c r="R224" i="1" a="1"/>
  <c r="N362" i="1" a="1"/>
  <c r="O362" i="1"/>
  <c r="R362" i="1" a="1"/>
  <c r="N317" i="1" a="1"/>
  <c r="O317" i="1"/>
  <c r="R317" i="1" a="1"/>
  <c r="N298" i="1" a="1"/>
  <c r="O298" i="1"/>
  <c r="R298" i="1" a="1"/>
  <c r="N255" i="1" a="1"/>
  <c r="O255" i="1"/>
  <c r="R255" i="1" a="1"/>
  <c r="N58" i="1" a="1"/>
  <c r="O58" i="1"/>
  <c r="R58" i="1" a="1"/>
  <c r="N11" i="1" a="1"/>
  <c r="O11" i="1"/>
  <c r="R11" i="1" a="1"/>
  <c r="N342" i="1" a="1"/>
  <c r="O342" i="1"/>
  <c r="R342" i="1" a="1"/>
  <c r="N48" i="1" a="1"/>
  <c r="O48" i="1"/>
  <c r="R48" i="1" a="1"/>
  <c r="N341" i="1" a="1"/>
  <c r="O341" i="1"/>
  <c r="R341" i="1" a="1"/>
  <c r="N316" i="1" a="1"/>
  <c r="O316" i="1"/>
  <c r="R316" i="1" a="1"/>
  <c r="N211" i="1" a="1"/>
  <c r="O211" i="1"/>
  <c r="R211" i="1" a="1"/>
  <c r="N284" i="1" a="1"/>
  <c r="O284" i="1"/>
  <c r="R284" i="1" a="1"/>
  <c r="N332" i="1" a="1"/>
  <c r="O332" i="1"/>
  <c r="R332" i="1" a="1"/>
  <c r="N128" i="1" a="1"/>
  <c r="O128" i="1"/>
  <c r="R128" i="1" a="1"/>
  <c r="N120" i="1" a="1"/>
  <c r="O120" i="1"/>
  <c r="R120" i="1" a="1"/>
  <c r="N290" i="1" a="1"/>
  <c r="O290" i="1"/>
  <c r="R290" i="1" a="1"/>
  <c r="N363" i="1" a="1"/>
  <c r="O363" i="1"/>
  <c r="R363" i="1" a="1"/>
  <c r="N84" i="1" a="1"/>
  <c r="O84" i="1"/>
  <c r="R84" i="1" a="1"/>
  <c r="N318" i="1" a="1"/>
  <c r="O318" i="1"/>
  <c r="R318" i="1" a="1"/>
  <c r="N192" i="1" a="1"/>
  <c r="O192" i="1"/>
  <c r="R192" i="1" a="1"/>
  <c r="N214" i="1" a="1"/>
  <c r="O214" i="1"/>
  <c r="R214" i="1" a="1"/>
  <c r="N241" i="1" a="1"/>
  <c r="O241" i="1"/>
  <c r="R241" i="1" a="1"/>
  <c r="N54" i="1" a="1"/>
  <c r="O54" i="1"/>
  <c r="R54" i="1" a="1"/>
  <c r="N150" i="1" a="1"/>
  <c r="O150" i="1"/>
  <c r="R150" i="1" a="1"/>
  <c r="N278" i="1" a="1"/>
  <c r="O278" i="1"/>
  <c r="R278" i="1" a="1"/>
  <c r="N73" i="1" a="1"/>
  <c r="O73" i="1"/>
  <c r="R73" i="1" a="1"/>
  <c r="N333" i="1" a="1"/>
  <c r="O333" i="1"/>
  <c r="R333" i="1" a="1"/>
  <c r="N44" i="1" a="1"/>
  <c r="O44" i="1"/>
  <c r="R44" i="1" a="1"/>
  <c r="N138" i="1" a="1"/>
  <c r="O138" i="1"/>
  <c r="R138" i="1" a="1"/>
  <c r="N78" i="1" a="1"/>
  <c r="O78" i="1"/>
  <c r="R78" i="1" a="1"/>
  <c r="N171" i="1" a="1"/>
  <c r="O171" i="1"/>
  <c r="R171" i="1" a="1"/>
  <c r="N104" i="1" a="1"/>
  <c r="O104" i="1"/>
  <c r="R104" i="1" a="1"/>
  <c r="N77" i="1" a="1"/>
  <c r="O77" i="1"/>
  <c r="R77" i="1" a="1"/>
  <c r="N343" i="1" a="1"/>
  <c r="O343" i="1"/>
  <c r="R343" i="1" a="1"/>
  <c r="N307" i="1" a="1"/>
  <c r="O307" i="1"/>
  <c r="R307" i="1" a="1"/>
  <c r="N131" i="1" a="1"/>
  <c r="O131" i="1"/>
  <c r="R131" i="1" a="1"/>
  <c r="N323" i="1" a="1"/>
  <c r="O323" i="1"/>
  <c r="R323" i="1" a="1"/>
  <c r="N231" i="1" a="1"/>
  <c r="O231" i="1"/>
  <c r="R231" i="1" a="1"/>
  <c r="N190" i="1" a="1"/>
  <c r="O190" i="1"/>
  <c r="R190" i="1" a="1"/>
  <c r="N42" i="1" a="1"/>
  <c r="O42" i="1"/>
  <c r="R42" i="1" a="1"/>
  <c r="N221" i="1" a="1"/>
  <c r="O221" i="1"/>
  <c r="R221" i="1" a="1"/>
  <c r="N208" i="1" a="1"/>
  <c r="O208" i="1"/>
  <c r="R208" i="1" a="1"/>
  <c r="N18" i="1" a="1"/>
  <c r="O18" i="1"/>
  <c r="R18" i="1" a="1"/>
  <c r="N338" i="1" a="1"/>
  <c r="O338" i="1"/>
  <c r="R338" i="1" a="1"/>
  <c r="N154" i="1" a="1"/>
  <c r="O154" i="1"/>
  <c r="R154" i="1" a="1"/>
  <c r="N225" i="1" a="1"/>
  <c r="O225" i="1"/>
  <c r="R225" i="1" a="1"/>
  <c r="N283" i="1" a="1"/>
  <c r="O283" i="1"/>
  <c r="R283" i="1" a="1"/>
  <c r="N139" i="1" a="1"/>
  <c r="O139" i="1"/>
  <c r="R139" i="1" a="1"/>
  <c r="N19" i="1" a="1"/>
  <c r="O19" i="1"/>
  <c r="R19" i="1" a="1"/>
  <c r="N16" i="1" a="1"/>
  <c r="O16" i="1"/>
  <c r="R16" i="1" a="1"/>
  <c r="N69" i="1" a="1"/>
  <c r="O69" i="1"/>
  <c r="R69" i="1" a="1"/>
  <c r="N148" i="1" a="1"/>
  <c r="O148" i="1"/>
  <c r="R148" i="1" a="1"/>
  <c r="N265" i="1" a="1"/>
  <c r="O265" i="1"/>
  <c r="R265" i="1" a="1"/>
  <c r="N297" i="1" a="1"/>
  <c r="O297" i="1"/>
  <c r="R297" i="1" a="1"/>
  <c r="N80" i="1" a="1"/>
  <c r="O80" i="1"/>
  <c r="R80" i="1" a="1"/>
  <c r="N129" i="1" a="1"/>
  <c r="O129" i="1"/>
  <c r="R129" i="1" a="1"/>
  <c r="N314" i="1" a="1"/>
  <c r="O314" i="1"/>
  <c r="R314" i="1" a="1"/>
  <c r="N279" i="1" a="1"/>
  <c r="O279" i="1"/>
  <c r="R279" i="1" a="1"/>
  <c r="N292" i="1" a="1"/>
  <c r="O292" i="1"/>
  <c r="R292" i="1" a="1"/>
  <c r="N327" i="1" a="1"/>
  <c r="O327" i="1"/>
  <c r="R327" i="1" a="1"/>
  <c r="N321" i="1" a="1"/>
  <c r="O321" i="1"/>
  <c r="R321" i="1" a="1"/>
  <c r="N13" i="1" a="1"/>
  <c r="O13" i="1"/>
  <c r="R13" i="1" a="1"/>
  <c r="N364" i="1" a="1"/>
  <c r="O364" i="1"/>
  <c r="R364" i="1" a="1"/>
  <c r="N235" i="1" a="1"/>
  <c r="O235" i="1"/>
  <c r="R235" i="1" a="1"/>
  <c r="N56" i="1" a="1"/>
  <c r="O56" i="1"/>
  <c r="R56" i="1" a="1"/>
  <c r="N59" i="1" a="1"/>
  <c r="O59" i="1"/>
  <c r="R59" i="1" a="1"/>
  <c r="N122" i="1" a="1"/>
  <c r="O122" i="1"/>
  <c r="R122" i="1" a="1"/>
  <c r="N60" i="1" a="1"/>
  <c r="O60" i="1"/>
  <c r="R60" i="1" a="1"/>
  <c r="N30" i="1" a="1"/>
  <c r="O30" i="1"/>
  <c r="R30" i="1" a="1"/>
  <c r="N264" i="1" a="1"/>
  <c r="O264" i="1"/>
  <c r="R264" i="1" a="1"/>
  <c r="N29" i="1" a="1"/>
  <c r="O29" i="1"/>
  <c r="R29" i="1" a="1"/>
  <c r="N125" i="1" a="1"/>
  <c r="O125" i="1"/>
  <c r="R125" i="1" a="1"/>
  <c r="N151" i="1" a="1"/>
  <c r="O151" i="1"/>
  <c r="R151" i="1" a="1"/>
  <c r="N7" i="1" a="1"/>
  <c r="O7" i="1"/>
  <c r="R7" i="1" a="1"/>
  <c r="N173" i="1" a="1"/>
  <c r="O173" i="1"/>
  <c r="R173" i="1" a="1"/>
  <c r="N31" i="1" a="1"/>
  <c r="O31" i="1"/>
  <c r="R31" i="1" a="1"/>
  <c r="N38" i="1" a="1"/>
  <c r="O38" i="1"/>
  <c r="R38" i="1" a="1"/>
  <c r="N365" i="1" a="1"/>
  <c r="O365" i="1"/>
  <c r="R365" i="1" a="1"/>
  <c r="N266" i="1" a="1"/>
  <c r="O266" i="1"/>
  <c r="R266" i="1" a="1"/>
  <c r="N270" i="1" a="1"/>
  <c r="O270" i="1"/>
  <c r="R270" i="1" a="1"/>
  <c r="N215" i="1" a="1"/>
  <c r="O215" i="1"/>
  <c r="R215" i="1" a="1"/>
  <c r="N207" i="1" a="1"/>
  <c r="O207" i="1"/>
  <c r="R207" i="1" a="1"/>
  <c r="N90" i="1" a="1"/>
  <c r="O90" i="1"/>
  <c r="R90" i="1" a="1"/>
  <c r="N339" i="1" a="1"/>
  <c r="O339" i="1"/>
  <c r="R339" i="1" a="1"/>
  <c r="N85" i="1" a="1"/>
  <c r="O85" i="1"/>
  <c r="R85" i="1" a="1"/>
  <c r="N305" i="1" a="1"/>
  <c r="O305" i="1"/>
  <c r="R305" i="1" a="1"/>
  <c r="N263" i="1" a="1"/>
  <c r="O263" i="1"/>
  <c r="R263" i="1" a="1"/>
  <c r="N8" i="1" a="1"/>
  <c r="O8" i="1"/>
  <c r="R8" i="1" a="1"/>
  <c r="N6" i="1" a="1"/>
  <c r="O6" i="1"/>
  <c r="R6" i="1" a="1"/>
  <c r="N302" i="1" a="1"/>
  <c r="O302" i="1"/>
  <c r="R302" i="1" a="1"/>
  <c r="N103" i="1" a="1"/>
  <c r="O103" i="1"/>
  <c r="R103" i="1" a="1"/>
  <c r="N51" i="1" a="1"/>
  <c r="O51" i="1"/>
  <c r="R51" i="1" a="1"/>
  <c r="N9" i="1" a="1"/>
  <c r="O9" i="1"/>
  <c r="R9" i="1" a="1"/>
  <c r="N71" i="1" a="1"/>
  <c r="O71" i="1"/>
  <c r="R71" i="1" a="1"/>
  <c r="N34" i="1" a="1"/>
  <c r="O34" i="1"/>
  <c r="R34" i="1" a="1"/>
  <c r="N251" i="1" a="1"/>
  <c r="O251" i="1"/>
  <c r="R251" i="1" a="1"/>
  <c r="N50" i="1" a="1"/>
  <c r="O50" i="1"/>
  <c r="R50" i="1" a="1"/>
  <c r="N79" i="1" a="1"/>
  <c r="O79" i="1"/>
  <c r="R79" i="1" a="1"/>
  <c r="N366" i="1" a="1"/>
  <c r="O366" i="1"/>
  <c r="R366" i="1" a="1"/>
  <c r="N259" i="1" a="1"/>
  <c r="O259" i="1"/>
  <c r="R259" i="1" a="1"/>
  <c r="N291" i="1" a="1"/>
  <c r="O291" i="1"/>
  <c r="R291" i="1" a="1"/>
  <c r="N32" i="1" a="1"/>
  <c r="O32" i="1"/>
  <c r="R32" i="1" a="1"/>
  <c r="N36" i="1" a="1"/>
  <c r="O36" i="1"/>
  <c r="R36" i="1" a="1"/>
  <c r="N197" i="1" a="1"/>
  <c r="O197" i="1"/>
  <c r="R197" i="1" a="1"/>
  <c r="N227" i="1" a="1"/>
  <c r="O227" i="1"/>
  <c r="R227" i="1" a="1"/>
  <c r="N114" i="1" a="1"/>
  <c r="O114" i="1"/>
  <c r="R114" i="1" a="1"/>
  <c r="N127" i="1" a="1"/>
  <c r="O127" i="1"/>
  <c r="R127" i="1" a="1"/>
  <c r="N310" i="1" a="1"/>
  <c r="O310" i="1"/>
  <c r="R310" i="1" a="1"/>
  <c r="N14" i="1" a="1"/>
  <c r="O14" i="1"/>
  <c r="R14" i="1" a="1"/>
  <c r="N295" i="1" a="1"/>
  <c r="O295" i="1"/>
  <c r="R295" i="1" a="1"/>
  <c r="N219" i="1" a="1"/>
  <c r="O219" i="1"/>
  <c r="R219" i="1" a="1"/>
  <c r="N226" i="1" a="1"/>
  <c r="O226" i="1"/>
  <c r="R226" i="1" a="1"/>
  <c r="N286" i="1" a="1"/>
  <c r="O286" i="1"/>
  <c r="R286" i="1" a="1"/>
  <c r="N25" i="1" a="1"/>
  <c r="O25" i="1"/>
  <c r="R25" i="1" a="1"/>
  <c r="N238" i="1" a="1"/>
  <c r="O238" i="1"/>
  <c r="R238" i="1" a="1"/>
  <c r="N22" i="1" a="1"/>
  <c r="O22" i="1"/>
  <c r="R22" i="1" a="1"/>
  <c r="N299" i="1" a="1"/>
  <c r="O299" i="1"/>
  <c r="R299" i="1" a="1"/>
  <c r="N267" i="1" a="1"/>
  <c r="O267" i="1"/>
  <c r="R267" i="1" a="1"/>
  <c r="N105" i="1" a="1"/>
  <c r="O105" i="1"/>
  <c r="R105" i="1" a="1"/>
  <c r="N155" i="1" a="1"/>
  <c r="O155" i="1"/>
  <c r="R155" i="1" a="1"/>
  <c r="N311" i="1" a="1"/>
  <c r="O311" i="1"/>
  <c r="R311" i="1" a="1"/>
  <c r="N141" i="1" a="1"/>
  <c r="O141" i="1"/>
  <c r="R141" i="1" a="1"/>
  <c r="N334" i="1" a="1"/>
  <c r="O334" i="1"/>
  <c r="R334" i="1" a="1"/>
  <c r="N49" i="1" a="1"/>
  <c r="O49" i="1"/>
  <c r="R49" i="1" a="1"/>
  <c r="N206" i="1" a="1"/>
  <c r="O206" i="1"/>
  <c r="R206" i="1" a="1"/>
  <c r="N97" i="1" a="1"/>
  <c r="O97" i="1"/>
  <c r="R97" i="1" a="1"/>
  <c r="N109" i="1" a="1"/>
  <c r="O109" i="1"/>
  <c r="R109" i="1" a="1"/>
  <c r="N134" i="1" a="1"/>
  <c r="O134" i="1"/>
  <c r="R134" i="1" a="1"/>
  <c r="N188" i="1" a="1"/>
  <c r="O188" i="1"/>
  <c r="R188" i="1" a="1"/>
  <c r="N156" i="1" a="1"/>
  <c r="O156" i="1"/>
  <c r="R156" i="1" a="1"/>
  <c r="N222" i="1" a="1"/>
  <c r="O222" i="1"/>
  <c r="R222" i="1" a="1"/>
  <c r="N70" i="1" a="1"/>
  <c r="O70" i="1"/>
  <c r="R70" i="1" a="1"/>
  <c r="N83" i="1" a="1"/>
  <c r="O83" i="1"/>
  <c r="R83" i="1" a="1"/>
  <c r="N135" i="1" a="1"/>
  <c r="O135" i="1"/>
  <c r="R135" i="1" a="1"/>
  <c r="N100" i="1" a="1"/>
  <c r="O100" i="1"/>
  <c r="R100" i="1" a="1"/>
  <c r="N121" i="1" a="1"/>
  <c r="O121" i="1"/>
  <c r="R121" i="1" a="1"/>
  <c r="N209" i="1" a="1"/>
  <c r="O209" i="1"/>
  <c r="R209" i="1" a="1"/>
  <c r="N158" i="1" a="1"/>
  <c r="O158" i="1"/>
  <c r="R158" i="1" a="1"/>
  <c r="N210" i="1" a="1"/>
  <c r="O210" i="1"/>
  <c r="R210" i="1" a="1"/>
  <c r="N162" i="1" a="1"/>
  <c r="O162" i="1"/>
  <c r="R162" i="1" a="1"/>
  <c r="N240" i="1" a="1"/>
  <c r="O240" i="1"/>
  <c r="R240" i="1" a="1"/>
  <c r="N4" i="1" a="1"/>
  <c r="O4" i="1"/>
  <c r="R4" i="1" a="1"/>
  <c r="N169" i="1" a="1"/>
  <c r="O169" i="1"/>
  <c r="R169" i="1" a="1"/>
  <c r="N285" i="1" a="1"/>
  <c r="O285" i="1"/>
  <c r="R285" i="1" a="1"/>
  <c r="N39" i="1" a="1"/>
  <c r="O39" i="1"/>
  <c r="R39" i="1" a="1"/>
  <c r="N88" i="1" a="1"/>
  <c r="O88" i="1"/>
  <c r="R88" i="1" a="1"/>
  <c r="N82" i="1" a="1"/>
  <c r="O82" i="1"/>
  <c r="R82" i="1" a="1"/>
  <c r="N5" i="1" a="1"/>
  <c r="O5" i="1"/>
  <c r="R5" i="1" a="1"/>
  <c r="N137" i="1" a="1"/>
  <c r="O137" i="1"/>
  <c r="R137" i="1" a="1"/>
  <c r="N345" i="1" a="1"/>
  <c r="O345" i="1"/>
  <c r="R345" i="1" a="1"/>
  <c r="N280" i="1" a="1"/>
  <c r="O280" i="1"/>
  <c r="R280" i="1" a="1"/>
  <c r="N325" i="1" a="1"/>
  <c r="O325" i="1"/>
  <c r="R325" i="1" a="1"/>
  <c r="N198" i="1" a="1"/>
  <c r="O198" i="1"/>
  <c r="R198" i="1" a="1"/>
  <c r="N136" i="1" a="1"/>
  <c r="O136" i="1"/>
  <c r="R136" i="1" a="1"/>
  <c r="N52" i="1" a="1"/>
  <c r="O52" i="1"/>
  <c r="R52" i="1" a="1"/>
  <c r="N183" i="1" a="1"/>
  <c r="O183" i="1"/>
  <c r="R183" i="1" a="1"/>
  <c r="N170" i="1" a="1"/>
  <c r="O170" i="1"/>
  <c r="R170" i="1" a="1"/>
  <c r="N228" i="1" a="1"/>
  <c r="O228" i="1"/>
  <c r="R228" i="1" a="1"/>
  <c r="N350" i="1" a="1"/>
  <c r="O350" i="1"/>
  <c r="R350" i="1" a="1"/>
  <c r="N301" i="1" a="1"/>
  <c r="O301" i="1"/>
  <c r="R301" i="1" a="1"/>
  <c r="N87" i="1" a="1"/>
  <c r="O87" i="1"/>
  <c r="R87" i="1" a="1"/>
  <c r="N95" i="1" a="1"/>
  <c r="O95" i="1"/>
  <c r="R95" i="1" a="1"/>
  <c r="N40" i="1" a="1"/>
  <c r="O40" i="1"/>
  <c r="R40" i="1" a="1"/>
  <c r="N23" i="1" a="1"/>
  <c r="O23" i="1"/>
  <c r="R23" i="1" a="1"/>
  <c r="N200" i="1" a="1"/>
  <c r="O200" i="1"/>
  <c r="R200" i="1" a="1"/>
  <c r="N91" i="1" a="1"/>
  <c r="O91" i="1"/>
  <c r="R91" i="1" a="1"/>
  <c r="N189" i="1" a="1"/>
  <c r="O189" i="1"/>
  <c r="R189" i="1" a="1"/>
  <c r="N178" i="1" a="1"/>
  <c r="O178" i="1"/>
  <c r="R178" i="1" a="1"/>
  <c r="N65" i="1" a="1"/>
  <c r="O65" i="1"/>
  <c r="R65" i="1" a="1"/>
  <c r="N320" i="1" a="1"/>
  <c r="O320" i="1"/>
  <c r="R320" i="1" a="1"/>
  <c r="N232" i="1" a="1"/>
  <c r="O232" i="1"/>
  <c r="R232" i="1" a="1"/>
  <c r="N245" i="1" a="1"/>
  <c r="O245" i="1"/>
  <c r="R245" i="1" a="1"/>
  <c r="N152" i="1" a="1"/>
  <c r="O152" i="1"/>
  <c r="R152" i="1" a="1"/>
  <c r="N110" i="1" a="1"/>
  <c r="O110" i="1"/>
  <c r="R110" i="1" a="1"/>
  <c r="N236" i="1" a="1"/>
  <c r="O236" i="1"/>
  <c r="R236" i="1" a="1"/>
  <c r="N201" i="1" a="1"/>
  <c r="O201" i="1"/>
  <c r="R201" i="1" a="1"/>
  <c r="N281" i="1" a="1"/>
  <c r="O281" i="1"/>
  <c r="R281" i="1" a="1"/>
  <c r="N246" i="1" a="1"/>
  <c r="O246" i="1"/>
  <c r="R246" i="1" a="1"/>
  <c r="N335" i="1" a="1"/>
  <c r="O335" i="1"/>
  <c r="R335" i="1" a="1"/>
  <c r="N153" i="1" a="1"/>
  <c r="O153" i="1"/>
  <c r="R153" i="1" a="1"/>
  <c r="N172" i="1" a="1"/>
  <c r="O172" i="1"/>
  <c r="R172" i="1" a="1"/>
  <c r="N63" i="1" a="1"/>
  <c r="O63" i="1"/>
  <c r="R63" i="1" a="1"/>
  <c r="N287" i="1" a="1"/>
  <c r="O287" i="1"/>
  <c r="R287" i="1" a="1"/>
  <c r="N328" i="1" a="1"/>
  <c r="O328" i="1"/>
  <c r="R328" i="1" a="1"/>
  <c r="N315" i="1" a="1"/>
  <c r="O315" i="1"/>
  <c r="R315" i="1" a="1"/>
  <c r="N45" i="1" a="1"/>
  <c r="O45" i="1"/>
  <c r="R45" i="1" a="1"/>
  <c r="N260" i="1" a="1"/>
  <c r="O260" i="1"/>
  <c r="R260" i="1" a="1"/>
  <c r="N43" i="1" a="1"/>
  <c r="O43" i="1"/>
  <c r="R43" i="1" a="1"/>
  <c r="N252" i="1" a="1"/>
  <c r="O252" i="1"/>
  <c r="R252" i="1" a="1"/>
  <c r="N89" i="1" a="1"/>
  <c r="O89" i="1"/>
  <c r="R89" i="1" a="1"/>
  <c r="N253" i="1" a="1"/>
  <c r="O253" i="1"/>
  <c r="R253" i="1" a="1"/>
  <c r="N344" i="1" a="1"/>
  <c r="O344" i="1"/>
  <c r="R344" i="1" a="1"/>
  <c r="N57" i="1" a="1"/>
  <c r="O57" i="1"/>
  <c r="R57" i="1" a="1"/>
  <c r="N312" i="1" a="1"/>
  <c r="O312" i="1"/>
  <c r="R312" i="1" a="1"/>
  <c r="N233" i="1" a="1"/>
  <c r="O233" i="1"/>
  <c r="R233" i="1" a="1"/>
  <c r="N187" i="1" a="1"/>
  <c r="O187" i="1"/>
  <c r="R187" i="1" a="1"/>
  <c r="N367" i="1" a="1"/>
  <c r="O367" i="1"/>
  <c r="R367" i="1" a="1"/>
  <c r="N61" i="1" a="1"/>
  <c r="O61" i="1"/>
  <c r="R61" i="1" a="1"/>
  <c r="N116" i="1" a="1"/>
  <c r="O116" i="1"/>
  <c r="R116" i="1" a="1"/>
  <c r="N346" i="1" a="1"/>
  <c r="O346" i="1"/>
  <c r="R346" i="1" a="1"/>
  <c r="N159" i="1" a="1"/>
  <c r="O159" i="1"/>
  <c r="R159" i="1" a="1"/>
  <c r="N92" i="1" a="1"/>
  <c r="O92" i="1"/>
  <c r="R92" i="1" a="1"/>
  <c r="N143" i="1" a="1"/>
  <c r="O143" i="1"/>
  <c r="R143" i="1" a="1"/>
  <c r="N258" i="1" a="1"/>
  <c r="O258" i="1"/>
  <c r="R258" i="1" a="1"/>
  <c r="N26" i="1" a="1"/>
  <c r="O26" i="1"/>
  <c r="R26" i="1" a="1"/>
  <c r="N174" i="1" a="1"/>
  <c r="O174" i="1"/>
  <c r="R174" i="1" a="1"/>
  <c r="N2" i="1" a="1"/>
  <c r="O2" i="1"/>
  <c r="R2" i="1" a="1"/>
  <c r="N67" i="1" a="1"/>
  <c r="O67" i="1"/>
  <c r="R67" i="1" a="1"/>
  <c r="N313" i="1" a="1"/>
  <c r="O313" i="1"/>
  <c r="R313" i="1" a="1"/>
  <c r="N293" i="1" a="1"/>
  <c r="O293" i="1"/>
  <c r="R293" i="1" a="1"/>
  <c r="N275" i="1" a="1"/>
  <c r="O275" i="1"/>
  <c r="R275" i="1" a="1"/>
  <c r="N132" i="1" a="1"/>
  <c r="O132" i="1"/>
  <c r="R132" i="1" a="1"/>
  <c r="N351" i="1" a="1"/>
  <c r="O351" i="1"/>
  <c r="R351" i="1" a="1"/>
  <c r="N164" i="1" a="1"/>
  <c r="O164" i="1"/>
  <c r="R164" i="1" a="1"/>
  <c r="N74" i="1" a="1"/>
  <c r="O74" i="1"/>
  <c r="R74" i="1" a="1"/>
  <c r="N115" i="1" a="1"/>
  <c r="O115" i="1"/>
  <c r="R115" i="1" a="1"/>
  <c r="N96" i="1" a="1"/>
  <c r="O96" i="1"/>
  <c r="R96" i="1" a="1"/>
  <c r="N160" i="1" a="1"/>
  <c r="O160" i="1"/>
  <c r="R160" i="1" a="1"/>
  <c r="N142" i="1" a="1"/>
  <c r="O142" i="1"/>
  <c r="R142" i="1" a="1"/>
  <c r="N35" i="1" a="1"/>
  <c r="O35" i="1"/>
  <c r="R35" i="1" a="1"/>
  <c r="N336" i="1" a="1"/>
  <c r="O336" i="1"/>
  <c r="R336" i="1" a="1"/>
  <c r="N218" i="1" a="1"/>
  <c r="O218" i="1"/>
  <c r="R218" i="1" a="1"/>
  <c r="N304" i="1" a="1"/>
  <c r="O304" i="1"/>
  <c r="R304" i="1" a="1"/>
  <c r="N282" i="1" a="1"/>
  <c r="O282" i="1"/>
  <c r="R282" i="1" a="1"/>
  <c r="N167" i="1" a="1"/>
  <c r="O167" i="1"/>
  <c r="R167" i="1" a="1"/>
  <c r="N329" i="1" a="1"/>
  <c r="O329" i="1"/>
  <c r="R329" i="1" a="1"/>
  <c r="N180" i="1" a="1"/>
  <c r="O180" i="1"/>
  <c r="R180" i="1" a="1"/>
  <c r="N271" i="1" a="1"/>
  <c r="O271" i="1"/>
  <c r="R271" i="1" a="1"/>
  <c r="N202" i="1" a="1"/>
  <c r="O202" i="1"/>
  <c r="R202" i="1" a="1"/>
  <c r="N272" i="1" a="1"/>
  <c r="O272" i="1"/>
  <c r="R272" i="1" a="1"/>
  <c r="N256" i="1" a="1"/>
  <c r="O256" i="1"/>
  <c r="R256" i="1" a="1"/>
  <c r="N123" i="1" a="1"/>
  <c r="O123" i="1"/>
  <c r="R123" i="1" a="1"/>
  <c r="N133" i="1" a="1"/>
  <c r="O133" i="1"/>
  <c r="R133" i="1" a="1"/>
  <c r="N140" i="1" a="1"/>
  <c r="O140" i="1"/>
  <c r="R140" i="1" a="1"/>
  <c r="N324" i="1" a="1"/>
  <c r="O324" i="1"/>
  <c r="R324" i="1" a="1"/>
  <c r="N179" i="1" a="1"/>
  <c r="O179" i="1"/>
  <c r="R179" i="1" a="1"/>
  <c r="N354" i="1" a="1"/>
  <c r="O354" i="1"/>
  <c r="R354" i="1" a="1"/>
  <c r="N76" i="1" a="1"/>
  <c r="O76" i="1"/>
  <c r="R76" i="1" a="1"/>
  <c r="N33" i="1" a="1"/>
  <c r="O33" i="1"/>
  <c r="R33" i="1" a="1"/>
  <c r="N340" i="1" a="1"/>
  <c r="O340" i="1"/>
  <c r="R340" i="1" a="1"/>
  <c r="N64" i="1" a="1"/>
  <c r="O64" i="1"/>
  <c r="R64" i="1" a="1"/>
  <c r="N296" i="1" a="1"/>
  <c r="O296" i="1"/>
  <c r="R296" i="1" a="1"/>
  <c r="N98" i="1" a="1"/>
  <c r="O98" i="1"/>
  <c r="R98" i="1" a="1"/>
  <c r="N247" i="1" a="1"/>
  <c r="O247" i="1"/>
  <c r="R247" i="1" a="1"/>
  <c r="N277" i="1" a="1"/>
  <c r="O277" i="1"/>
  <c r="R277" i="1" a="1"/>
  <c r="N117" i="1" a="1"/>
  <c r="O117" i="1"/>
  <c r="R117" i="1" a="1"/>
  <c r="N124" i="1" a="1"/>
  <c r="O124" i="1"/>
  <c r="R124" i="1" a="1"/>
  <c r="N352" i="1" a="1"/>
  <c r="O352" i="1"/>
  <c r="R352" i="1" a="1"/>
  <c r="N204" i="1" a="1"/>
  <c r="O204" i="1"/>
  <c r="R204" i="1" a="1"/>
  <c r="N237" i="1" a="1"/>
  <c r="O237" i="1"/>
  <c r="R237" i="1" a="1"/>
  <c r="N24" i="1" a="1"/>
  <c r="O24" i="1"/>
  <c r="R24" i="1" a="1"/>
  <c r="N322" i="1" a="1"/>
  <c r="O322" i="1"/>
  <c r="R322" i="1" a="1"/>
  <c r="N288" i="1" a="1"/>
  <c r="O288" i="1"/>
  <c r="R288" i="1" a="1"/>
  <c r="N223" i="1" a="1"/>
  <c r="O223" i="1"/>
  <c r="R223" i="1" a="1"/>
  <c r="N250" i="1" a="1"/>
  <c r="O250" i="1"/>
  <c r="R250" i="1" a="1"/>
  <c r="N212" i="1" a="1"/>
  <c r="O212" i="1"/>
  <c r="R212" i="1" a="1"/>
  <c r="N268" i="1" a="1"/>
  <c r="O268" i="1"/>
  <c r="R268" i="1" a="1"/>
  <c r="N261" i="1" a="1"/>
  <c r="O261" i="1"/>
  <c r="R261" i="1" a="1"/>
  <c r="N41" i="1" a="1"/>
  <c r="O41" i="1"/>
  <c r="R41" i="1" a="1"/>
  <c r="N66" i="1" a="1"/>
  <c r="O66" i="1"/>
  <c r="R66" i="1" a="1"/>
  <c r="N118" i="1" a="1"/>
  <c r="O118" i="1"/>
  <c r="R118" i="1" a="1"/>
  <c r="N94" i="1" a="1"/>
  <c r="O94" i="1"/>
  <c r="R94" i="1" a="1"/>
  <c r="N107" i="1" a="1"/>
  <c r="O107" i="1"/>
  <c r="R107" i="1" a="1"/>
  <c r="N356" i="1" a="1"/>
  <c r="O356" i="1"/>
  <c r="R356" i="1" a="1"/>
  <c r="N86" i="1" a="1"/>
  <c r="O86" i="1"/>
  <c r="R86" i="1" a="1"/>
  <c r="N20" i="1" a="1"/>
  <c r="O20" i="1"/>
  <c r="R20" i="1" a="1"/>
  <c r="N62" i="1" a="1"/>
  <c r="O62" i="1"/>
  <c r="R62" i="1" a="1"/>
  <c r="N193" i="1" a="1"/>
  <c r="O193" i="1"/>
  <c r="R193" i="1" a="1"/>
  <c r="N177" i="1" a="1"/>
  <c r="O177" i="1"/>
  <c r="R177" i="1" a="1"/>
  <c r="N15" i="1" a="1"/>
  <c r="O15" i="1"/>
  <c r="R15" i="1" a="1"/>
  <c r="N99" i="1" a="1"/>
  <c r="O99" i="1"/>
  <c r="R99" i="1" a="1"/>
  <c r="N319" i="1" a="1"/>
  <c r="O319" i="1"/>
  <c r="R319" i="1" a="1"/>
  <c r="N368" i="1" a="1"/>
  <c r="O368" i="1"/>
  <c r="R368" i="1" a="1"/>
  <c r="N308" i="1" a="1"/>
  <c r="O308" i="1"/>
  <c r="R308" i="1" a="1"/>
  <c r="N53" i="1" a="1"/>
  <c r="O53" i="1"/>
  <c r="R53" i="1" a="1"/>
  <c r="N165" i="1" a="1"/>
  <c r="O165" i="1"/>
  <c r="R165" i="1" a="1"/>
  <c r="N273" i="1" a="1"/>
  <c r="O273" i="1"/>
  <c r="R273" i="1" a="1"/>
  <c r="N130" i="1" a="1"/>
  <c r="O130" i="1"/>
  <c r="R130" i="1" a="1"/>
  <c r="N72" i="1" a="1"/>
  <c r="O72" i="1"/>
  <c r="R72" i="1" a="1"/>
  <c r="N303" i="1" a="1"/>
  <c r="O303" i="1"/>
  <c r="R303" i="1" a="1"/>
  <c r="N234" i="1" a="1"/>
  <c r="O234" i="1"/>
  <c r="R234" i="1" a="1"/>
  <c r="N213" i="1" a="1"/>
  <c r="O213" i="1"/>
  <c r="R213" i="1" a="1"/>
  <c r="N294" i="1" a="1"/>
  <c r="O294" i="1"/>
  <c r="R294" i="1" a="1"/>
  <c r="N306" i="1" a="1"/>
  <c r="O306" i="1"/>
  <c r="R306" i="1" a="1"/>
  <c r="N347" i="1" a="1"/>
  <c r="O347" i="1"/>
  <c r="R347" i="1" a="1"/>
  <c r="N101" i="1" a="1"/>
  <c r="O101" i="1"/>
  <c r="R101" i="1" a="1"/>
  <c r="N119" i="1" a="1"/>
  <c r="O119" i="1"/>
  <c r="R119" i="1" a="1"/>
  <c r="N239" i="1" a="1"/>
  <c r="O239" i="1"/>
  <c r="R239" i="1" a="1"/>
  <c r="N186" i="1" a="1"/>
  <c r="O186" i="1"/>
  <c r="R186" i="1" a="1"/>
  <c r="N369" i="1" a="1"/>
  <c r="O369" i="1"/>
  <c r="R369" i="1" a="1"/>
  <c r="N108" i="1" a="1"/>
  <c r="O108" i="1"/>
  <c r="R108" i="1" a="1"/>
  <c r="N111" i="1" a="1"/>
  <c r="O111" i="1"/>
  <c r="R111" i="1" a="1"/>
  <c r="N370" i="1" a="1"/>
  <c r="O370" i="1"/>
  <c r="R370" i="1" a="1"/>
  <c r="N205" i="1" a="1"/>
  <c r="O205" i="1"/>
  <c r="R205" i="1" a="1"/>
  <c r="N309" i="1" a="1"/>
  <c r="O309" i="1"/>
  <c r="R309" i="1" a="1"/>
  <c r="N242" i="1" a="1"/>
  <c r="O242" i="1"/>
  <c r="R242" i="1" a="1"/>
  <c r="N191" i="1" a="1"/>
  <c r="O191" i="1"/>
  <c r="R191" i="1" a="1"/>
  <c r="N229" i="1" a="1"/>
  <c r="O229" i="1"/>
  <c r="R229" i="1" a="1"/>
  <c r="N371" i="1" a="1"/>
  <c r="O371" i="1"/>
  <c r="R371" i="1" a="1"/>
  <c r="N372" i="1" a="1"/>
  <c r="O372" i="1"/>
  <c r="R372" i="1" a="1"/>
  <c r="N373" i="1" a="1"/>
  <c r="O373" i="1"/>
  <c r="R373" i="1" a="1"/>
  <c r="N357" i="1" a="1"/>
  <c r="O357" i="1"/>
  <c r="R357" i="1" a="1"/>
  <c r="N374" i="1" a="1"/>
  <c r="O374" i="1"/>
  <c r="R374" i="1" a="1"/>
  <c r="N375" i="1" a="1"/>
  <c r="O375" i="1"/>
  <c r="R375" i="1" a="1"/>
  <c r="N376" i="1" a="1"/>
  <c r="O376" i="1"/>
  <c r="R376" i="1" a="1"/>
  <c r="N377" i="1" a="1"/>
  <c r="O377" i="1"/>
  <c r="R377" i="1" a="1"/>
  <c r="N378" i="1" a="1"/>
  <c r="O378" i="1"/>
  <c r="R378" i="1" a="1"/>
  <c r="N379" i="1" a="1"/>
  <c r="O379" i="1"/>
  <c r="R379" i="1" a="1"/>
  <c r="N380" i="1" a="1"/>
  <c r="O380" i="1"/>
  <c r="R380" i="1" a="1"/>
  <c r="N381" i="1" a="1"/>
  <c r="O381" i="1"/>
  <c r="R381" i="1" a="1"/>
  <c r="N382" i="1" a="1"/>
  <c r="O382" i="1"/>
  <c r="R382" i="1" a="1"/>
  <c r="N383" i="1" a="1"/>
  <c r="O383" i="1"/>
  <c r="R383" i="1" a="1"/>
  <c r="N384" i="1" a="1"/>
  <c r="O384" i="1"/>
  <c r="R384" i="1" a="1"/>
  <c r="N385" i="1" a="1"/>
  <c r="O385" i="1"/>
  <c r="R385" i="1" a="1"/>
  <c r="N386" i="1" a="1"/>
  <c r="O386" i="1"/>
  <c r="R386" i="1" a="1"/>
  <c r="N387" i="1" a="1"/>
  <c r="O387" i="1"/>
  <c r="R387" i="1" a="1"/>
  <c r="N388" i="1" a="1"/>
  <c r="O388" i="1"/>
  <c r="R388" i="1" a="1"/>
  <c r="N389" i="1" a="1"/>
  <c r="O389" i="1"/>
  <c r="R389" i="1" a="1"/>
  <c r="N390" i="1" a="1"/>
  <c r="O390" i="1"/>
  <c r="R390" i="1" a="1"/>
  <c r="N391" i="1" a="1"/>
  <c r="O391" i="1"/>
  <c r="R391" i="1" a="1"/>
  <c r="N392" i="1" a="1"/>
  <c r="O392" i="1"/>
  <c r="R392" i="1" a="1"/>
  <c r="N393" i="1" a="1"/>
  <c r="O393" i="1"/>
  <c r="R393" i="1" a="1"/>
  <c r="N394" i="1" a="1"/>
  <c r="O394" i="1"/>
  <c r="R394" i="1" a="1"/>
  <c r="N395" i="1" a="1"/>
  <c r="O395" i="1"/>
  <c r="R395" i="1" a="1"/>
  <c r="N396" i="1" a="1"/>
  <c r="O396" i="1"/>
  <c r="R396" i="1" a="1"/>
  <c r="N397" i="1" a="1"/>
  <c r="O397" i="1"/>
  <c r="R397" i="1" a="1"/>
  <c r="N398" i="1" a="1"/>
  <c r="O398" i="1"/>
  <c r="R398" i="1" a="1"/>
  <c r="N399" i="1" a="1"/>
  <c r="O399" i="1"/>
  <c r="R399" i="1" a="1"/>
  <c r="N400" i="1" a="1"/>
  <c r="O400" i="1"/>
  <c r="R400" i="1" a="1"/>
  <c r="N401" i="1" a="1"/>
  <c r="O401" i="1"/>
  <c r="R401" i="1" a="1"/>
  <c r="N402" i="1" a="1"/>
  <c r="O402" i="1"/>
  <c r="R402" i="1" a="1"/>
  <c r="N403" i="1" a="1"/>
  <c r="O403" i="1"/>
  <c r="R403" i="1" a="1"/>
  <c r="N175" i="1" a="1"/>
  <c r="O175" i="1"/>
  <c r="R175" i="1" a="1"/>
  <c r="G380" i="1"/>
  <c r="I175" i="1"/>
  <c r="I112" i="1"/>
  <c r="I248" i="1"/>
  <c r="I106" i="1"/>
  <c r="I355" i="1"/>
  <c r="I144" i="1"/>
  <c r="I81" i="1"/>
  <c r="I203" i="1"/>
  <c r="I75" i="1"/>
  <c r="I269" i="1"/>
  <c r="I330" i="1"/>
  <c r="I216" i="1"/>
  <c r="I254" i="1"/>
  <c r="I195" i="1"/>
  <c r="I46" i="1"/>
  <c r="I146" i="1"/>
  <c r="I68" i="1"/>
  <c r="I244" i="1"/>
  <c r="I93" i="1"/>
  <c r="I358" i="1"/>
  <c r="I184" i="1"/>
  <c r="I276" i="1"/>
  <c r="I337" i="1"/>
  <c r="I359" i="1"/>
  <c r="I300" i="1"/>
  <c r="I243" i="1"/>
  <c r="I217" i="1"/>
  <c r="I27" i="1"/>
  <c r="I199" i="1"/>
  <c r="I360" i="1"/>
  <c r="I331" i="1"/>
  <c r="I194" i="1"/>
  <c r="I47" i="1"/>
  <c r="I102" i="1"/>
  <c r="I274" i="1"/>
  <c r="I166" i="1"/>
  <c r="I163" i="1"/>
  <c r="I353" i="1"/>
  <c r="I185" i="1"/>
  <c r="I348" i="1"/>
  <c r="I126" i="1"/>
  <c r="I12" i="1"/>
  <c r="I10" i="1"/>
  <c r="I28" i="1"/>
  <c r="I3" i="1"/>
  <c r="I289" i="1"/>
  <c r="I326" i="1"/>
  <c r="I230" i="1"/>
  <c r="I37" i="1"/>
  <c r="I257" i="1"/>
  <c r="I113" i="1"/>
  <c r="I176" i="1"/>
  <c r="I181" i="1"/>
  <c r="I55" i="1"/>
  <c r="I262" i="1"/>
  <c r="I349" i="1"/>
  <c r="I149" i="1"/>
  <c r="I196" i="1"/>
  <c r="I17" i="1"/>
  <c r="I182" i="1"/>
  <c r="I168" i="1"/>
  <c r="I145" i="1"/>
  <c r="I249" i="1"/>
  <c r="I361" i="1"/>
  <c r="I220" i="1"/>
  <c r="I157" i="1"/>
  <c r="I21" i="1"/>
  <c r="I224" i="1"/>
  <c r="I362" i="1"/>
  <c r="I298" i="1"/>
  <c r="I255" i="1"/>
  <c r="I58" i="1"/>
  <c r="I11" i="1"/>
  <c r="I342" i="1"/>
  <c r="I48" i="1"/>
  <c r="I341" i="1"/>
  <c r="I316" i="1"/>
  <c r="I211" i="1"/>
  <c r="I284" i="1"/>
  <c r="I332" i="1"/>
  <c r="I120" i="1"/>
  <c r="I290" i="1"/>
  <c r="I363" i="1"/>
  <c r="I84" i="1"/>
  <c r="I318" i="1"/>
  <c r="I192" i="1"/>
  <c r="I214" i="1"/>
  <c r="I241" i="1"/>
  <c r="I54" i="1"/>
  <c r="I150" i="1"/>
  <c r="I278" i="1"/>
  <c r="I73" i="1"/>
  <c r="I333" i="1"/>
  <c r="I44" i="1"/>
  <c r="I138" i="1"/>
  <c r="I78" i="1"/>
  <c r="I171" i="1"/>
  <c r="I104" i="1"/>
  <c r="I77" i="1"/>
  <c r="I343" i="1"/>
  <c r="I307" i="1"/>
  <c r="I131" i="1"/>
  <c r="I323" i="1"/>
  <c r="I231" i="1"/>
  <c r="I190" i="1"/>
  <c r="I42" i="1"/>
  <c r="I221" i="1"/>
  <c r="I208" i="1"/>
  <c r="I18" i="1"/>
  <c r="I338" i="1"/>
  <c r="I154" i="1"/>
  <c r="I225" i="1"/>
  <c r="I283" i="1"/>
  <c r="I139" i="1"/>
  <c r="I19" i="1"/>
  <c r="I16" i="1"/>
  <c r="I69" i="1"/>
  <c r="I148" i="1"/>
  <c r="I265" i="1"/>
  <c r="I297" i="1"/>
  <c r="I80" i="1"/>
  <c r="I129" i="1"/>
  <c r="I314" i="1"/>
  <c r="I279" i="1"/>
  <c r="I292" i="1"/>
  <c r="I327" i="1"/>
  <c r="I321" i="1"/>
  <c r="I13" i="1"/>
  <c r="I364" i="1"/>
  <c r="I235" i="1"/>
  <c r="I56" i="1"/>
  <c r="I59" i="1"/>
  <c r="I60" i="1"/>
  <c r="I30" i="1"/>
  <c r="I264" i="1"/>
  <c r="I29" i="1"/>
  <c r="I125" i="1"/>
  <c r="I151" i="1"/>
  <c r="I7" i="1"/>
  <c r="I173" i="1"/>
  <c r="I31" i="1"/>
  <c r="I38" i="1"/>
  <c r="I365" i="1"/>
  <c r="I266" i="1"/>
  <c r="I270" i="1"/>
  <c r="I215" i="1"/>
  <c r="I207" i="1"/>
  <c r="I90" i="1"/>
  <c r="I339" i="1"/>
  <c r="I85" i="1"/>
  <c r="I305" i="1"/>
  <c r="I263" i="1"/>
  <c r="I8" i="1"/>
  <c r="I6" i="1"/>
  <c r="I302" i="1"/>
  <c r="I103" i="1"/>
  <c r="I9" i="1"/>
  <c r="I71" i="1"/>
  <c r="I34" i="1"/>
  <c r="I251" i="1"/>
  <c r="I50" i="1"/>
  <c r="I79" i="1"/>
  <c r="I366" i="1"/>
  <c r="I259" i="1"/>
  <c r="I291" i="1"/>
  <c r="I32" i="1"/>
  <c r="I36" i="1"/>
  <c r="I197" i="1"/>
  <c r="I227" i="1"/>
  <c r="I114" i="1"/>
  <c r="I127" i="1"/>
  <c r="I310" i="1"/>
  <c r="I14" i="1"/>
  <c r="I295" i="1"/>
  <c r="I219" i="1"/>
  <c r="I226" i="1"/>
  <c r="I286" i="1"/>
  <c r="I25" i="1"/>
  <c r="I22" i="1"/>
  <c r="I299" i="1"/>
  <c r="I267" i="1"/>
  <c r="I105" i="1"/>
  <c r="I155" i="1"/>
  <c r="I311" i="1"/>
  <c r="I141" i="1"/>
  <c r="I334" i="1"/>
  <c r="I49" i="1"/>
  <c r="I206" i="1"/>
  <c r="I97" i="1"/>
  <c r="I109" i="1"/>
  <c r="I134" i="1"/>
  <c r="I188" i="1"/>
  <c r="I156" i="1"/>
  <c r="I222" i="1"/>
  <c r="I83" i="1"/>
  <c r="I135" i="1"/>
  <c r="I100" i="1"/>
  <c r="I121" i="1"/>
  <c r="I209" i="1"/>
  <c r="I158" i="1"/>
  <c r="I210" i="1"/>
  <c r="I162" i="1"/>
  <c r="I240" i="1"/>
  <c r="I4" i="1"/>
  <c r="I169" i="1"/>
  <c r="I285" i="1"/>
  <c r="I39" i="1"/>
  <c r="I88" i="1"/>
  <c r="I82" i="1"/>
  <c r="I5" i="1"/>
  <c r="I137" i="1"/>
  <c r="I345" i="1"/>
  <c r="I280" i="1"/>
  <c r="I325" i="1"/>
  <c r="I198" i="1"/>
  <c r="I136" i="1"/>
  <c r="I52" i="1"/>
  <c r="I183" i="1"/>
  <c r="I170" i="1"/>
  <c r="I228" i="1"/>
  <c r="I350" i="1"/>
  <c r="I301" i="1"/>
  <c r="I87" i="1"/>
  <c r="I95" i="1"/>
  <c r="I40" i="1"/>
  <c r="I23" i="1"/>
  <c r="I200" i="1"/>
  <c r="I91" i="1"/>
  <c r="I189" i="1"/>
  <c r="I178" i="1"/>
  <c r="I65" i="1"/>
  <c r="I320" i="1"/>
  <c r="I232" i="1"/>
  <c r="I245" i="1"/>
  <c r="I152" i="1"/>
  <c r="I110" i="1"/>
  <c r="I236" i="1"/>
  <c r="I201" i="1"/>
  <c r="I281" i="1"/>
  <c r="I246" i="1"/>
  <c r="I335" i="1"/>
  <c r="I153" i="1"/>
  <c r="I172" i="1"/>
  <c r="I287" i="1"/>
  <c r="I328" i="1"/>
  <c r="I315" i="1"/>
  <c r="I45" i="1"/>
  <c r="I260" i="1"/>
  <c r="I43" i="1"/>
  <c r="I252" i="1"/>
  <c r="I89" i="1"/>
  <c r="I253" i="1"/>
  <c r="I344" i="1"/>
  <c r="I57" i="1"/>
  <c r="I312" i="1"/>
  <c r="I233" i="1"/>
  <c r="I187" i="1"/>
  <c r="I367" i="1"/>
  <c r="I61" i="1"/>
  <c r="I116" i="1"/>
  <c r="I346" i="1"/>
  <c r="I159" i="1"/>
  <c r="I92" i="1"/>
  <c r="I143" i="1"/>
  <c r="I258" i="1"/>
  <c r="I26" i="1"/>
  <c r="I174" i="1"/>
  <c r="I2" i="1"/>
  <c r="I67" i="1"/>
  <c r="I313" i="1"/>
  <c r="I293" i="1"/>
  <c r="I275" i="1"/>
  <c r="I132" i="1"/>
  <c r="I351" i="1"/>
  <c r="I164" i="1"/>
  <c r="I74" i="1"/>
  <c r="I115" i="1"/>
  <c r="I96" i="1"/>
  <c r="I160" i="1"/>
  <c r="I142" i="1"/>
  <c r="I35" i="1"/>
  <c r="I336" i="1"/>
  <c r="I218" i="1"/>
  <c r="I304" i="1"/>
  <c r="I282" i="1"/>
  <c r="I167" i="1"/>
  <c r="I329" i="1"/>
  <c r="I180" i="1"/>
  <c r="I271" i="1"/>
  <c r="I202" i="1"/>
  <c r="I272" i="1"/>
  <c r="I256" i="1"/>
  <c r="I123" i="1"/>
  <c r="I133" i="1"/>
  <c r="I140" i="1"/>
  <c r="I324" i="1"/>
  <c r="I179" i="1"/>
  <c r="I354" i="1"/>
  <c r="I76" i="1"/>
  <c r="I33" i="1"/>
  <c r="I340" i="1"/>
  <c r="I296" i="1"/>
  <c r="I98" i="1"/>
  <c r="I247" i="1"/>
  <c r="I277" i="1"/>
  <c r="I117" i="1"/>
  <c r="I124" i="1"/>
  <c r="I352" i="1"/>
  <c r="I204" i="1"/>
  <c r="I237" i="1"/>
  <c r="I24" i="1"/>
  <c r="I322" i="1"/>
  <c r="I288" i="1"/>
  <c r="I223" i="1"/>
  <c r="I250" i="1"/>
  <c r="I212" i="1"/>
  <c r="I268" i="1"/>
  <c r="I261" i="1"/>
  <c r="I41" i="1"/>
  <c r="I66" i="1"/>
  <c r="I118" i="1"/>
  <c r="I94" i="1"/>
  <c r="I107" i="1"/>
  <c r="I356" i="1"/>
  <c r="I86" i="1"/>
  <c r="I20" i="1"/>
  <c r="I193" i="1"/>
  <c r="I177" i="1"/>
  <c r="I15" i="1"/>
  <c r="I99" i="1"/>
  <c r="I319" i="1"/>
  <c r="I368" i="1"/>
  <c r="I308" i="1"/>
  <c r="I53" i="1"/>
  <c r="I165" i="1"/>
  <c r="I273" i="1"/>
  <c r="I130" i="1"/>
  <c r="I72" i="1"/>
  <c r="I303" i="1"/>
  <c r="I234" i="1"/>
  <c r="I213" i="1"/>
  <c r="I294" i="1"/>
  <c r="I306" i="1"/>
  <c r="I347" i="1"/>
  <c r="I101" i="1"/>
  <c r="I119" i="1"/>
  <c r="I239" i="1"/>
  <c r="I186" i="1"/>
  <c r="I369" i="1"/>
  <c r="I108" i="1"/>
  <c r="I111" i="1"/>
  <c r="I370" i="1"/>
  <c r="I205" i="1"/>
  <c r="I309" i="1"/>
  <c r="I242" i="1"/>
  <c r="I191" i="1"/>
  <c r="I229" i="1"/>
  <c r="I371" i="1"/>
  <c r="I372" i="1"/>
  <c r="I373" i="1"/>
  <c r="I357" i="1"/>
  <c r="I374" i="1"/>
  <c r="G376" i="1"/>
  <c r="I377" i="1"/>
  <c r="I379" i="1"/>
  <c r="I381" i="1"/>
  <c r="I382" i="1"/>
  <c r="G383" i="1"/>
  <c r="I384" i="1"/>
  <c r="I385" i="1"/>
  <c r="I386" i="1"/>
  <c r="I387" i="1"/>
  <c r="I388" i="1"/>
  <c r="I389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D175" i="1"/>
  <c r="D112" i="1"/>
  <c r="D248" i="1"/>
  <c r="D106" i="1"/>
  <c r="D355" i="1"/>
  <c r="D144" i="1"/>
  <c r="D81" i="1"/>
  <c r="D203" i="1"/>
  <c r="D75" i="1"/>
  <c r="D269" i="1"/>
  <c r="D330" i="1"/>
  <c r="D216" i="1"/>
  <c r="D254" i="1"/>
  <c r="D195" i="1"/>
  <c r="D46" i="1"/>
  <c r="D146" i="1"/>
  <c r="D68" i="1"/>
  <c r="D244" i="1"/>
  <c r="D93" i="1"/>
  <c r="D358" i="1"/>
  <c r="D184" i="1"/>
  <c r="D161" i="1"/>
  <c r="D276" i="1"/>
  <c r="D337" i="1"/>
  <c r="D359" i="1"/>
  <c r="D300" i="1"/>
  <c r="D147" i="1"/>
  <c r="D243" i="1"/>
  <c r="D217" i="1"/>
  <c r="D27" i="1"/>
  <c r="D199" i="1"/>
  <c r="D360" i="1"/>
  <c r="D331" i="1"/>
  <c r="D194" i="1"/>
  <c r="D47" i="1"/>
  <c r="D102" i="1"/>
  <c r="D166" i="1"/>
  <c r="D163" i="1"/>
  <c r="D353" i="1"/>
  <c r="D185" i="1"/>
  <c r="D348" i="1"/>
  <c r="D126" i="1"/>
  <c r="D12" i="1"/>
  <c r="D10" i="1"/>
  <c r="D28" i="1"/>
  <c r="D3" i="1"/>
  <c r="D289" i="1"/>
  <c r="D326" i="1"/>
  <c r="D230" i="1"/>
  <c r="D37" i="1"/>
  <c r="D257" i="1"/>
  <c r="D113" i="1"/>
  <c r="D176" i="1"/>
  <c r="D181" i="1"/>
  <c r="D55" i="1"/>
  <c r="D262" i="1"/>
  <c r="D349" i="1"/>
  <c r="D149" i="1"/>
  <c r="D196" i="1"/>
  <c r="D17" i="1"/>
  <c r="D182" i="1"/>
  <c r="D168" i="1"/>
  <c r="D145" i="1"/>
  <c r="D249" i="1"/>
  <c r="D361" i="1"/>
  <c r="D220" i="1"/>
  <c r="D157" i="1"/>
  <c r="D21" i="1"/>
  <c r="D224" i="1"/>
  <c r="D362" i="1"/>
  <c r="D317" i="1"/>
  <c r="D298" i="1"/>
  <c r="D255" i="1"/>
  <c r="D58" i="1"/>
  <c r="D11" i="1"/>
  <c r="D342" i="1"/>
  <c r="D48" i="1"/>
  <c r="D341" i="1"/>
  <c r="D316" i="1"/>
  <c r="D211" i="1"/>
  <c r="D284" i="1"/>
  <c r="D332" i="1"/>
  <c r="D128" i="1"/>
  <c r="D120" i="1"/>
  <c r="D290" i="1"/>
  <c r="D363" i="1"/>
  <c r="D84" i="1"/>
  <c r="D318" i="1"/>
  <c r="D192" i="1"/>
  <c r="D214" i="1"/>
  <c r="D241" i="1"/>
  <c r="D54" i="1"/>
  <c r="D150" i="1"/>
  <c r="D278" i="1"/>
  <c r="D73" i="1"/>
  <c r="D333" i="1"/>
  <c r="D44" i="1"/>
  <c r="D138" i="1"/>
  <c r="D78" i="1"/>
  <c r="D171" i="1"/>
  <c r="D104" i="1"/>
  <c r="D77" i="1"/>
  <c r="D343" i="1"/>
  <c r="D307" i="1"/>
  <c r="D131" i="1"/>
  <c r="D323" i="1"/>
  <c r="D231" i="1"/>
  <c r="D190" i="1"/>
  <c r="D42" i="1"/>
  <c r="D221" i="1"/>
  <c r="D208" i="1"/>
  <c r="D18" i="1"/>
  <c r="D338" i="1"/>
  <c r="D154" i="1"/>
  <c r="D225" i="1"/>
  <c r="D283" i="1"/>
  <c r="D139" i="1"/>
  <c r="D19" i="1"/>
  <c r="D16" i="1"/>
  <c r="D69" i="1"/>
  <c r="D148" i="1"/>
  <c r="D265" i="1"/>
  <c r="D297" i="1"/>
  <c r="D80" i="1"/>
  <c r="D129" i="1"/>
  <c r="D314" i="1"/>
  <c r="D279" i="1"/>
  <c r="D292" i="1"/>
  <c r="D327" i="1"/>
  <c r="D321" i="1"/>
  <c r="D13" i="1"/>
  <c r="D364" i="1"/>
  <c r="D235" i="1"/>
  <c r="D56" i="1"/>
  <c r="D59" i="1"/>
  <c r="D122" i="1"/>
  <c r="D60" i="1"/>
  <c r="D30" i="1"/>
  <c r="D264" i="1"/>
  <c r="D29" i="1"/>
  <c r="D125" i="1"/>
  <c r="D151" i="1"/>
  <c r="D7" i="1"/>
  <c r="D173" i="1"/>
  <c r="D31" i="1"/>
  <c r="D38" i="1"/>
  <c r="D365" i="1"/>
  <c r="D266" i="1"/>
  <c r="D270" i="1"/>
  <c r="D215" i="1"/>
  <c r="D207" i="1"/>
  <c r="D90" i="1"/>
  <c r="D339" i="1"/>
  <c r="D85" i="1"/>
  <c r="D305" i="1"/>
  <c r="D263" i="1"/>
  <c r="D8" i="1"/>
  <c r="D6" i="1"/>
  <c r="D302" i="1"/>
  <c r="D103" i="1"/>
  <c r="D51" i="1"/>
  <c r="D9" i="1"/>
  <c r="D71" i="1"/>
  <c r="D34" i="1"/>
  <c r="D251" i="1"/>
  <c r="D50" i="1"/>
  <c r="D79" i="1"/>
  <c r="D366" i="1"/>
  <c r="D259" i="1"/>
  <c r="D291" i="1"/>
  <c r="D32" i="1"/>
  <c r="D36" i="1"/>
  <c r="D197" i="1"/>
  <c r="D227" i="1"/>
  <c r="D114" i="1"/>
  <c r="D127" i="1"/>
  <c r="D310" i="1"/>
  <c r="D14" i="1"/>
  <c r="D295" i="1"/>
  <c r="D219" i="1"/>
  <c r="D226" i="1"/>
  <c r="D286" i="1"/>
  <c r="D25" i="1"/>
  <c r="D238" i="1"/>
  <c r="D22" i="1"/>
  <c r="D299" i="1"/>
  <c r="D267" i="1"/>
  <c r="D105" i="1"/>
  <c r="D155" i="1"/>
  <c r="D311" i="1"/>
  <c r="D141" i="1"/>
  <c r="D334" i="1"/>
  <c r="D49" i="1"/>
  <c r="D206" i="1"/>
  <c r="D97" i="1"/>
  <c r="D109" i="1"/>
  <c r="D134" i="1"/>
  <c r="D188" i="1"/>
  <c r="D156" i="1"/>
  <c r="D222" i="1"/>
  <c r="D70" i="1"/>
  <c r="D83" i="1"/>
  <c r="D135" i="1"/>
  <c r="D100" i="1"/>
  <c r="D121" i="1"/>
  <c r="D209" i="1"/>
  <c r="D158" i="1"/>
  <c r="D210" i="1"/>
  <c r="D162" i="1"/>
  <c r="D240" i="1"/>
  <c r="D4" i="1"/>
  <c r="D169" i="1"/>
  <c r="D285" i="1"/>
  <c r="D39" i="1"/>
  <c r="D88" i="1"/>
  <c r="D82" i="1"/>
  <c r="D5" i="1"/>
  <c r="D137" i="1"/>
  <c r="D345" i="1"/>
  <c r="D280" i="1"/>
  <c r="D325" i="1"/>
  <c r="D198" i="1"/>
  <c r="D136" i="1"/>
  <c r="D52" i="1"/>
  <c r="D183" i="1"/>
  <c r="D170" i="1"/>
  <c r="D228" i="1"/>
  <c r="D350" i="1"/>
  <c r="D301" i="1"/>
  <c r="D87" i="1"/>
  <c r="D95" i="1"/>
  <c r="D40" i="1"/>
  <c r="D23" i="1"/>
  <c r="D200" i="1"/>
  <c r="D91" i="1"/>
  <c r="D189" i="1"/>
  <c r="D178" i="1"/>
  <c r="D65" i="1"/>
  <c r="D320" i="1"/>
  <c r="D232" i="1"/>
  <c r="D245" i="1"/>
  <c r="D152" i="1"/>
  <c r="D110" i="1"/>
  <c r="D236" i="1"/>
  <c r="D201" i="1"/>
  <c r="D281" i="1"/>
  <c r="D246" i="1"/>
  <c r="D335" i="1"/>
  <c r="D153" i="1"/>
  <c r="D172" i="1"/>
  <c r="D63" i="1"/>
  <c r="D287" i="1"/>
  <c r="D328" i="1"/>
  <c r="D315" i="1"/>
  <c r="D45" i="1"/>
  <c r="D260" i="1"/>
  <c r="D43" i="1"/>
  <c r="D252" i="1"/>
  <c r="D89" i="1"/>
  <c r="D253" i="1"/>
  <c r="D344" i="1"/>
  <c r="D57" i="1"/>
  <c r="D312" i="1"/>
  <c r="D233" i="1"/>
  <c r="D187" i="1"/>
  <c r="D367" i="1"/>
  <c r="D61" i="1"/>
  <c r="D116" i="1"/>
  <c r="D346" i="1"/>
  <c r="D159" i="1"/>
  <c r="D92" i="1"/>
  <c r="D143" i="1"/>
  <c r="D258" i="1"/>
  <c r="D26" i="1"/>
  <c r="D174" i="1"/>
  <c r="D2" i="1"/>
  <c r="D67" i="1"/>
  <c r="D313" i="1"/>
  <c r="D293" i="1"/>
  <c r="D275" i="1"/>
  <c r="D132" i="1"/>
  <c r="D351" i="1"/>
  <c r="D164" i="1"/>
  <c r="D74" i="1"/>
  <c r="D115" i="1"/>
  <c r="D96" i="1"/>
  <c r="D160" i="1"/>
  <c r="D142" i="1"/>
  <c r="D35" i="1"/>
  <c r="D336" i="1"/>
  <c r="D218" i="1"/>
  <c r="D304" i="1"/>
  <c r="D282" i="1"/>
  <c r="D167" i="1"/>
  <c r="D329" i="1"/>
  <c r="D180" i="1"/>
  <c r="D271" i="1"/>
  <c r="D202" i="1"/>
  <c r="D272" i="1"/>
  <c r="D256" i="1"/>
  <c r="D123" i="1"/>
  <c r="D133" i="1"/>
  <c r="D140" i="1"/>
  <c r="D324" i="1"/>
  <c r="D179" i="1"/>
  <c r="D354" i="1"/>
  <c r="D76" i="1"/>
  <c r="D33" i="1"/>
  <c r="D340" i="1"/>
  <c r="D64" i="1"/>
  <c r="D296" i="1"/>
  <c r="D98" i="1"/>
  <c r="D247" i="1"/>
  <c r="D277" i="1"/>
  <c r="D117" i="1"/>
  <c r="D124" i="1"/>
  <c r="D352" i="1"/>
  <c r="D204" i="1"/>
  <c r="D237" i="1"/>
  <c r="D24" i="1"/>
  <c r="D322" i="1"/>
  <c r="D288" i="1"/>
  <c r="D223" i="1"/>
  <c r="D250" i="1"/>
  <c r="D212" i="1"/>
  <c r="D268" i="1"/>
  <c r="D261" i="1"/>
  <c r="D41" i="1"/>
  <c r="D66" i="1"/>
  <c r="D118" i="1"/>
  <c r="D94" i="1"/>
  <c r="D107" i="1"/>
  <c r="D356" i="1"/>
  <c r="D86" i="1"/>
  <c r="D20" i="1"/>
  <c r="D62" i="1"/>
  <c r="D193" i="1"/>
  <c r="D177" i="1"/>
  <c r="D15" i="1"/>
  <c r="D99" i="1"/>
  <c r="D319" i="1"/>
  <c r="D368" i="1"/>
  <c r="D308" i="1"/>
  <c r="D53" i="1"/>
  <c r="D165" i="1"/>
  <c r="D273" i="1"/>
  <c r="D130" i="1"/>
  <c r="D72" i="1"/>
  <c r="D303" i="1"/>
  <c r="D234" i="1"/>
  <c r="D213" i="1"/>
  <c r="D294" i="1"/>
  <c r="D306" i="1"/>
  <c r="D347" i="1"/>
  <c r="D101" i="1"/>
  <c r="D119" i="1"/>
  <c r="D239" i="1"/>
  <c r="D186" i="1"/>
  <c r="D369" i="1"/>
  <c r="D108" i="1"/>
  <c r="D111" i="1"/>
  <c r="D370" i="1"/>
  <c r="D205" i="1"/>
  <c r="D309" i="1"/>
  <c r="D242" i="1"/>
  <c r="D191" i="1"/>
  <c r="D229" i="1"/>
  <c r="D371" i="1"/>
  <c r="D372" i="1"/>
  <c r="D373" i="1"/>
  <c r="D357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<sst xmlns="http://schemas.openxmlformats.org/spreadsheetml/2006/main" count="2610" uniqueCount="799">
  <si>
    <t>coluna</t>
  </si>
  <si>
    <t>fórmulas usadas</t>
  </si>
  <si>
    <t>descrição</t>
  </si>
  <si>
    <t>status</t>
  </si>
  <si>
    <t>pri.maiuscula</t>
  </si>
  <si>
    <t>fórmula e coluna auxiliar, nomes só com a primeira letra maiúscula</t>
  </si>
  <si>
    <t>nome</t>
  </si>
  <si>
    <t>cpf</t>
  </si>
  <si>
    <t>uso da função =TEXTO(C2;"000\.000\.000\-00")</t>
  </si>
  <si>
    <t>ajusta para o formato CPF</t>
  </si>
  <si>
    <t>idade</t>
  </si>
  <si>
    <t>-</t>
  </si>
  <si>
    <t>uso do localizar e substituir - trocar "anos" por um espaço em branco</t>
  </si>
  <si>
    <t>data nascimento</t>
  </si>
  <si>
    <t>converter para o formato de data</t>
  </si>
  <si>
    <t>cidade</t>
  </si>
  <si>
    <t>função dividir texto</t>
  </si>
  <si>
    <t>separar pelo | (pipe)</t>
  </si>
  <si>
    <t>região</t>
  </si>
  <si>
    <t>renda</t>
  </si>
  <si>
    <t>converter para R$</t>
  </si>
  <si>
    <t>crédito tomado</t>
  </si>
  <si>
    <t>flag</t>
  </si>
  <si>
    <t>localizar e substituir - trocar 0 por "Não" e 1 por "Sim"</t>
  </si>
  <si>
    <t>qtd</t>
  </si>
  <si>
    <t>localizar e substituir - trocar "batalhas" por um espaço em branco</t>
  </si>
  <si>
    <t>Coluna</t>
  </si>
  <si>
    <t>Problema</t>
  </si>
  <si>
    <t>Exemplo</t>
  </si>
  <si>
    <t>Ação</t>
  </si>
  <si>
    <t>Resultado</t>
  </si>
  <si>
    <t>Decisão/Status</t>
  </si>
  <si>
    <t>Escritas diferentes - maiúscula e minúscula</t>
  </si>
  <si>
    <t>ativo; INATIVO</t>
  </si>
  <si>
    <t>padronizar por fórmula</t>
  </si>
  <si>
    <t>Todos mesma diagramação de letras</t>
  </si>
  <si>
    <t>corrigido</t>
  </si>
  <si>
    <t>THOROS HORNWOOD</t>
  </si>
  <si>
    <t>letras junto; fora da formatação do cpf</t>
  </si>
  <si>
    <t>função texto para o formato cpf</t>
  </si>
  <si>
    <t>Formato cpf</t>
  </si>
  <si>
    <t>palavras juntos dos números</t>
  </si>
  <si>
    <t>45 anos</t>
  </si>
  <si>
    <t>substituir / eliminar texto</t>
  </si>
  <si>
    <t>somente números</t>
  </si>
  <si>
    <t>números fora do padrão de data</t>
  </si>
  <si>
    <t>converter data</t>
  </si>
  <si>
    <t xml:space="preserve">formato data </t>
  </si>
  <si>
    <t>juntas com cidade</t>
  </si>
  <si>
    <t>Jardim de Cima / Campina</t>
  </si>
  <si>
    <t>separar por fórmula</t>
  </si>
  <si>
    <t>cidade e região separadas</t>
  </si>
  <si>
    <t>não padronnizadas maiúsculas e min.</t>
  </si>
  <si>
    <t>terras da coroa</t>
  </si>
  <si>
    <t>fora da formatação em moeda</t>
  </si>
  <si>
    <t>converter para moeda (reais)</t>
  </si>
  <si>
    <t>formato de R$</t>
  </si>
  <si>
    <t>fora da formatação em moeda; células com 0 e com valores vazios</t>
  </si>
  <si>
    <t xml:space="preserve">converter para moeda (reais); se 0, deixar assim; se valor vazio, colocar N/A -  sem informação </t>
  </si>
  <si>
    <t>formato de R$; 0 e N/A informações distintas</t>
  </si>
  <si>
    <t>para análise</t>
  </si>
  <si>
    <t>coluna duplicada; 0 e 1</t>
  </si>
  <si>
    <t>eliminar coluna; 0 é Não, 1 é Sim</t>
  </si>
  <si>
    <t>coluna única; formato padrão Sim e Não</t>
  </si>
  <si>
    <t>44 batalhas</t>
  </si>
  <si>
    <t>liberação_de_crédito</t>
  </si>
  <si>
    <t>dado para as batalhas de um indivíduo inexistente</t>
  </si>
  <si>
    <t xml:space="preserve">para os casos em que não existem pelo menos um dos dados dentre flag, credito, qtde e valor solicitado, aparece "DATA" na coluna, indicando ausência de informação; se a informação existir e as condições da fórmula não indicarem nem a recusa nem a aprovação do crédito, aparece como N/D; se o crédito for recusado ou aprovado, aparecem, respectivamente, 0 e o valor disponibilizado (8% do v. solicitado)  </t>
  </si>
  <si>
    <t>aplicação das fórmulas depende dos valores das análises, que por sua vez, dependem dos dados completos de batalhas, flag, crédito tomado e valor solicitado</t>
  </si>
  <si>
    <t>CPF2</t>
  </si>
  <si>
    <t>data_nascimento</t>
  </si>
  <si>
    <t>regiao</t>
  </si>
  <si>
    <t>renda_mensal</t>
  </si>
  <si>
    <t>credito_tomado</t>
  </si>
  <si>
    <t>flag_inadimplente</t>
  </si>
  <si>
    <t>qtde_</t>
  </si>
  <si>
    <t>nivel_risco</t>
  </si>
  <si>
    <t>análise_risco</t>
  </si>
  <si>
    <t>análise_crédito</t>
  </si>
  <si>
    <t>valor_solicitado</t>
  </si>
  <si>
    <t>Ativo</t>
  </si>
  <si>
    <t>Cersei Umber</t>
  </si>
  <si>
    <t>000.000.058-00</t>
  </si>
  <si>
    <t>N/A</t>
  </si>
  <si>
    <t>Jardim de Cima</t>
  </si>
  <si>
    <t>Campina</t>
  </si>
  <si>
    <t>Não</t>
  </si>
  <si>
    <t>Varys Bracken</t>
  </si>
  <si>
    <t>000.000.215-00</t>
  </si>
  <si>
    <t>Porto Real</t>
  </si>
  <si>
    <t>Terras da Coroa</t>
  </si>
  <si>
    <t>Loras Manderly</t>
  </si>
  <si>
    <t xml:space="preserve">Monte Chifre </t>
  </si>
  <si>
    <t>Ramsay Tarly</t>
  </si>
  <si>
    <t>Pyke</t>
  </si>
  <si>
    <t>ILHAS DE FERRO</t>
  </si>
  <si>
    <t>Inativo</t>
  </si>
  <si>
    <t>Yara Payne</t>
  </si>
  <si>
    <t>000.000.250-00</t>
  </si>
  <si>
    <t>Fosso Cailin</t>
  </si>
  <si>
    <t>NORTE</t>
  </si>
  <si>
    <t>Sim</t>
  </si>
  <si>
    <t>Ellaria Mormont</t>
  </si>
  <si>
    <t>000.000.157-00</t>
  </si>
  <si>
    <t>Ponta Tempestade</t>
  </si>
  <si>
    <t>Terras da Tempestade</t>
  </si>
  <si>
    <t>Ellaria Martell</t>
  </si>
  <si>
    <t>000.000.148-00</t>
  </si>
  <si>
    <t>Atalaia da Água Cinzenta</t>
  </si>
  <si>
    <t>Gargalo</t>
  </si>
  <si>
    <t>Gilly Frey</t>
  </si>
  <si>
    <t>000.000.258-00</t>
  </si>
  <si>
    <t>Castelo Negro</t>
  </si>
  <si>
    <t>Norte</t>
  </si>
  <si>
    <t>Margaery  Hornwood</t>
  </si>
  <si>
    <t>Dorne</t>
  </si>
  <si>
    <t>Ellaria  Reed</t>
  </si>
  <si>
    <t>000.000.311-00</t>
  </si>
  <si>
    <t>Lannisporto</t>
  </si>
  <si>
    <t>Oeste</t>
  </si>
  <si>
    <t>Jorah Redwyne</t>
  </si>
  <si>
    <t>Monte Chifre</t>
  </si>
  <si>
    <t>campina</t>
  </si>
  <si>
    <t>Varys  Stark</t>
  </si>
  <si>
    <t>Braavos</t>
  </si>
  <si>
    <t>ESSOS</t>
  </si>
  <si>
    <t>Rhaegar Hornwood</t>
  </si>
  <si>
    <t>000.000.178-00</t>
  </si>
  <si>
    <t>TERRAS DA TEMPESTADE</t>
  </si>
  <si>
    <t>Gilly Glover</t>
  </si>
  <si>
    <t>gargalo</t>
  </si>
  <si>
    <t>Catelyn Umber</t>
  </si>
  <si>
    <t>Harrenhal</t>
  </si>
  <si>
    <t>TERRAS FLUVIAIS</t>
  </si>
  <si>
    <t>Ellaria Tarly</t>
  </si>
  <si>
    <t>000.000.026-00</t>
  </si>
  <si>
    <t>Varys Targaryen</t>
  </si>
  <si>
    <t>000.000.234-00</t>
  </si>
  <si>
    <t>Meereen</t>
  </si>
  <si>
    <t>Essos</t>
  </si>
  <si>
    <t>Varys Florent</t>
  </si>
  <si>
    <t>Terras Fluviais</t>
  </si>
  <si>
    <t>Davos Tyrell</t>
  </si>
  <si>
    <t>000.000.079-00</t>
  </si>
  <si>
    <t>Ninho da Águia</t>
  </si>
  <si>
    <t>Vale</t>
  </si>
  <si>
    <t>Shae Seaworth</t>
  </si>
  <si>
    <t>000.000.030-00</t>
  </si>
  <si>
    <t>essos</t>
  </si>
  <si>
    <t>Renly Redwyne</t>
  </si>
  <si>
    <t>000.000.045-00</t>
  </si>
  <si>
    <t>TERRAS DA COROA</t>
  </si>
  <si>
    <t>Yara Tallhart</t>
  </si>
  <si>
    <t>Correrrio</t>
  </si>
  <si>
    <t>terras fluviais</t>
  </si>
  <si>
    <t>Rhaegar Tallhart</t>
  </si>
  <si>
    <t>Ilha dos Ursos</t>
  </si>
  <si>
    <t>norte</t>
  </si>
  <si>
    <t>Bronn Crakehall</t>
  </si>
  <si>
    <t>GARGALO</t>
  </si>
  <si>
    <t>Brienne Reed</t>
  </si>
  <si>
    <t>000.000.373-00</t>
  </si>
  <si>
    <t>Ilhas de Ferro</t>
  </si>
  <si>
    <t>Arya Redwyne</t>
  </si>
  <si>
    <t>000.000.333-00</t>
  </si>
  <si>
    <t>Aegon Marbrand</t>
  </si>
  <si>
    <t>Varys  Blackwood</t>
  </si>
  <si>
    <t>Ellaria Swyft</t>
  </si>
  <si>
    <t>000.000.115-00</t>
  </si>
  <si>
    <t>VALE</t>
  </si>
  <si>
    <t>Loras Frey</t>
  </si>
  <si>
    <t>000.000.017-00</t>
  </si>
  <si>
    <t>Rickon Targaryen</t>
  </si>
  <si>
    <t>000.000.298-00</t>
  </si>
  <si>
    <t>Varys Tallhart</t>
  </si>
  <si>
    <t>Sansa Dondarrion</t>
  </si>
  <si>
    <t>000.000.101-00</t>
  </si>
  <si>
    <t>vale</t>
  </si>
  <si>
    <t>Bran Karstark</t>
  </si>
  <si>
    <t>000.000.241-00</t>
  </si>
  <si>
    <t>Bran Dayne</t>
  </si>
  <si>
    <t>000.000.288-00</t>
  </si>
  <si>
    <t>Ilhas De Ferro</t>
  </si>
  <si>
    <t>Grey  Worm  Greyjoy</t>
  </si>
  <si>
    <t>000.000.182-00</t>
  </si>
  <si>
    <t>Lyanna Seaworth</t>
  </si>
  <si>
    <t>000.000.041-00</t>
  </si>
  <si>
    <t>Melisandre Baratheon</t>
  </si>
  <si>
    <t>000.000.020-00</t>
  </si>
  <si>
    <t>Rickon Karstark</t>
  </si>
  <si>
    <t xml:space="preserve">Castelo Negro </t>
  </si>
  <si>
    <t>Shae Frey</t>
  </si>
  <si>
    <t>Missandei Redwyne</t>
  </si>
  <si>
    <t>000.000.111-00</t>
  </si>
  <si>
    <t>Stannis Redwyne</t>
  </si>
  <si>
    <t>000.000.216-00</t>
  </si>
  <si>
    <t>Aegon Hornwood</t>
  </si>
  <si>
    <t>Solar do Entardecer</t>
  </si>
  <si>
    <t>Missandei Tarly</t>
  </si>
  <si>
    <t>Bronn Arryn</t>
  </si>
  <si>
    <t>000.000.179-00</t>
  </si>
  <si>
    <t>oeste</t>
  </si>
  <si>
    <t>Lyanna Marbrand</t>
  </si>
  <si>
    <t>000.000.283-00</t>
  </si>
  <si>
    <t>Varys Arryn</t>
  </si>
  <si>
    <t>000.000.097-00</t>
  </si>
  <si>
    <t>Vilavelha</t>
  </si>
  <si>
    <t>Sandor Westerling</t>
  </si>
  <si>
    <t>000.000.337-00</t>
  </si>
  <si>
    <t>Shae Mormont</t>
  </si>
  <si>
    <t>000.000.307-00</t>
  </si>
  <si>
    <t>Rickon Frey</t>
  </si>
  <si>
    <t>000.000.013-00</t>
  </si>
  <si>
    <t>Missandei Karstark</t>
  </si>
  <si>
    <t>000.000.044-00</t>
  </si>
  <si>
    <t>Pedra do Dragão</t>
  </si>
  <si>
    <t>Rickon Crakehall</t>
  </si>
  <si>
    <t>000.000.066-00</t>
  </si>
  <si>
    <t>Eddard Royce</t>
  </si>
  <si>
    <t>000.000.181-00</t>
  </si>
  <si>
    <t>Terras Da Coroa</t>
  </si>
  <si>
    <t>Jon Cerwyn</t>
  </si>
  <si>
    <t>000.000.112-00</t>
  </si>
  <si>
    <t>Terras Da Tempestade</t>
  </si>
  <si>
    <t>Ellaria Bracken</t>
  </si>
  <si>
    <t>000.000.138-00</t>
  </si>
  <si>
    <t>CAMPINA</t>
  </si>
  <si>
    <t>Rhaegar Lannister</t>
  </si>
  <si>
    <t>Eddard Westerling</t>
  </si>
  <si>
    <t>000.000.094-00</t>
  </si>
  <si>
    <t>terras da tempestade</t>
  </si>
  <si>
    <t>Thoros Greyjoy</t>
  </si>
  <si>
    <t>000.000.374-00</t>
  </si>
  <si>
    <t>Melisandre Cerwyn</t>
  </si>
  <si>
    <t>000.000.120-00</t>
  </si>
  <si>
    <t>Brienne Westerling</t>
  </si>
  <si>
    <t>000.000.379-00</t>
  </si>
  <si>
    <t>Lyanna Westerling</t>
  </si>
  <si>
    <t>Aegon Florent</t>
  </si>
  <si>
    <t>Bronn Baratheon</t>
  </si>
  <si>
    <t>Petyr Yronwood</t>
  </si>
  <si>
    <t>000.000.095-00</t>
  </si>
  <si>
    <t>Eddard Crakehall</t>
  </si>
  <si>
    <t>Samwell Glover</t>
  </si>
  <si>
    <t>Theon Tarth</t>
  </si>
  <si>
    <t>000.000.289-00</t>
  </si>
  <si>
    <t>Loras Bracken</t>
  </si>
  <si>
    <t>000.000.254-00</t>
  </si>
  <si>
    <t xml:space="preserve">Atalaia da Água Cinzenta </t>
  </si>
  <si>
    <t>Theon Frey</t>
  </si>
  <si>
    <t>000.000.123-00</t>
  </si>
  <si>
    <t>000.000.088-00</t>
  </si>
  <si>
    <t>Cersei Tarth</t>
  </si>
  <si>
    <t>000.000.147-00</t>
  </si>
  <si>
    <t>Margaery Tarly</t>
  </si>
  <si>
    <t>000.000.274-00</t>
  </si>
  <si>
    <t>Ilhas de ferro</t>
  </si>
  <si>
    <t>Bran Frey</t>
  </si>
  <si>
    <t>000.000.189-00</t>
  </si>
  <si>
    <t xml:space="preserve">Ilha dos Ursos </t>
  </si>
  <si>
    <t>Aegon Bracken</t>
  </si>
  <si>
    <t>000.000.244-00</t>
  </si>
  <si>
    <t>Loras Baelish</t>
  </si>
  <si>
    <t>000.000.217-00</t>
  </si>
  <si>
    <t>Asha Redwyne</t>
  </si>
  <si>
    <t>Robert Yronwood</t>
  </si>
  <si>
    <t>000.000.075-00</t>
  </si>
  <si>
    <t>Winterfell</t>
  </si>
  <si>
    <t>Brienne Manderly</t>
  </si>
  <si>
    <t>000.000.076-00</t>
  </si>
  <si>
    <t>Tormund Yronwood</t>
  </si>
  <si>
    <t>000.000.187-00</t>
  </si>
  <si>
    <t>Stannis Seaworth</t>
  </si>
  <si>
    <t>000.000.316-00</t>
  </si>
  <si>
    <t>Jojen Redwyne</t>
  </si>
  <si>
    <t>000.000.334-00</t>
  </si>
  <si>
    <t>dorne</t>
  </si>
  <si>
    <t>Petyr Karstark</t>
  </si>
  <si>
    <t>Stannis Westerling</t>
  </si>
  <si>
    <t>000.000.071-00</t>
  </si>
  <si>
    <t>Yara  Marbrand</t>
  </si>
  <si>
    <t>000.000.266-00</t>
  </si>
  <si>
    <t>Margaery Marbrand</t>
  </si>
  <si>
    <t>000.000.146-00</t>
  </si>
  <si>
    <t>Eddard Payne</t>
  </si>
  <si>
    <t>Daario Arryn</t>
  </si>
  <si>
    <t>000.000.173-00</t>
  </si>
  <si>
    <t>Brienne Dondarrion</t>
  </si>
  <si>
    <t>000.000.256-00</t>
  </si>
  <si>
    <t>Jon Dayne</t>
  </si>
  <si>
    <t>Podrick Dayne</t>
  </si>
  <si>
    <t>Cersei  Marbrand</t>
  </si>
  <si>
    <t>000.000.158-00</t>
  </si>
  <si>
    <t>Brienne Mallister</t>
  </si>
  <si>
    <t>000.000.202-00</t>
  </si>
  <si>
    <t>Ramsay Dayne</t>
  </si>
  <si>
    <t>000.000.224-00</t>
  </si>
  <si>
    <t>Renly Stark</t>
  </si>
  <si>
    <t>Robb Reed</t>
  </si>
  <si>
    <t>000.000.246-00</t>
  </si>
  <si>
    <t>Grey Worm Dondarrion</t>
  </si>
  <si>
    <t>Daario Tarly</t>
  </si>
  <si>
    <t>000.000.046-00</t>
  </si>
  <si>
    <t>Shae Clegane</t>
  </si>
  <si>
    <t>Jeor Clegane</t>
  </si>
  <si>
    <t>Jon Marbrand</t>
  </si>
  <si>
    <t>000.000.359-00</t>
  </si>
  <si>
    <t>Daario Cerwyn</t>
  </si>
  <si>
    <t>Jorah Dondarrion</t>
  </si>
  <si>
    <t>000.000.210-00</t>
  </si>
  <si>
    <t>Sandor Clegane</t>
  </si>
  <si>
    <t>000.000.164-00</t>
  </si>
  <si>
    <t>Melisandre Glover</t>
  </si>
  <si>
    <t>000.000.329-00</t>
  </si>
  <si>
    <t>Brienne Karstark</t>
  </si>
  <si>
    <t>000.000.031-00</t>
  </si>
  <si>
    <t xml:space="preserve">Pyke </t>
  </si>
  <si>
    <t>000.000.043-00</t>
  </si>
  <si>
    <t>Jon Baelish</t>
  </si>
  <si>
    <t>Stannis Lannister</t>
  </si>
  <si>
    <t>000.000.361-100</t>
  </si>
  <si>
    <t>Aegon Frey</t>
  </si>
  <si>
    <t>000.000.338-00</t>
  </si>
  <si>
    <t>Bronn Umber</t>
  </si>
  <si>
    <t>000.000.177-00</t>
  </si>
  <si>
    <t>Catelyn Mallister</t>
  </si>
  <si>
    <t>000.000.062-00</t>
  </si>
  <si>
    <t>Gilly Marbrand</t>
  </si>
  <si>
    <t>Brienne Glover</t>
  </si>
  <si>
    <t>000.000.355-00</t>
  </si>
  <si>
    <t>Jojen Dayne</t>
  </si>
  <si>
    <t>000.000.199-00</t>
  </si>
  <si>
    <t>Tyrion Clegane</t>
  </si>
  <si>
    <t>000.000.281-00</t>
  </si>
  <si>
    <t>Yara Royce</t>
  </si>
  <si>
    <t>Olenna Arryn</t>
  </si>
  <si>
    <t>Varys Blackwood</t>
  </si>
  <si>
    <t>Petyr Swyft</t>
  </si>
  <si>
    <t>000.000.275-00</t>
  </si>
  <si>
    <t>Ellaria Cerwyn</t>
  </si>
  <si>
    <t>000.000.019-00</t>
  </si>
  <si>
    <t>Beric Tyrell</t>
  </si>
  <si>
    <t>000.000.242-00</t>
  </si>
  <si>
    <t>000.000.140-00</t>
  </si>
  <si>
    <t xml:space="preserve">Fosso Cailin </t>
  </si>
  <si>
    <t>Brienne Dayne</t>
  </si>
  <si>
    <t>000.000.070-00</t>
  </si>
  <si>
    <t>Jon  Karstark</t>
  </si>
  <si>
    <t>000.000.139-00</t>
  </si>
  <si>
    <t>Meera Reed</t>
  </si>
  <si>
    <t>000.000.314-00</t>
  </si>
  <si>
    <t>Missandei  Tarly</t>
  </si>
  <si>
    <t>000.000.196-00</t>
  </si>
  <si>
    <t>Jorah  Tyrell</t>
  </si>
  <si>
    <t>000.000.229-00</t>
  </si>
  <si>
    <t>Jaime Bracken</t>
  </si>
  <si>
    <t>Tormund Greyjoy</t>
  </si>
  <si>
    <t>000.000.009-00</t>
  </si>
  <si>
    <t>Shae Tarly</t>
  </si>
  <si>
    <t>000.000.235-00</t>
  </si>
  <si>
    <t>000.000.114-00</t>
  </si>
  <si>
    <t>000.000.277-00</t>
  </si>
  <si>
    <t>Beric  Umber</t>
  </si>
  <si>
    <t>Rhaegar Mormont</t>
  </si>
  <si>
    <t>000.000.109-00</t>
  </si>
  <si>
    <t>Jorah Marbrand</t>
  </si>
  <si>
    <t>000.000.168-00</t>
  </si>
  <si>
    <t xml:space="preserve">Pedra do Dragão </t>
  </si>
  <si>
    <t>Renly Blackwood</t>
  </si>
  <si>
    <t>000.000.106-00</t>
  </si>
  <si>
    <t>Olenna Baelish</t>
  </si>
  <si>
    <t>000.000.191-00</t>
  </si>
  <si>
    <t>Thoros Tarth</t>
  </si>
  <si>
    <t>Jeor Mallister</t>
  </si>
  <si>
    <t>000.000.162-00</t>
  </si>
  <si>
    <t>Jojen Florent</t>
  </si>
  <si>
    <t>000.000.343-00</t>
  </si>
  <si>
    <t>Thoros Clegane</t>
  </si>
  <si>
    <t>000.000.141-00</t>
  </si>
  <si>
    <t>Ellaria Mallister</t>
  </si>
  <si>
    <t>000.000.194-00</t>
  </si>
  <si>
    <t>ilhas de ferro</t>
  </si>
  <si>
    <t>Catelyn Cerwyn</t>
  </si>
  <si>
    <t>000.000.308-00</t>
  </si>
  <si>
    <t>Asha Manderly</t>
  </si>
  <si>
    <t>000.000.357-00</t>
  </si>
  <si>
    <t>Stannis Greyjoy</t>
  </si>
  <si>
    <t>000.000.236-00</t>
  </si>
  <si>
    <t>Bronn Stark</t>
  </si>
  <si>
    <t>000.000.313-00</t>
  </si>
  <si>
    <t>Gendry Hightower</t>
  </si>
  <si>
    <t>000.000.167-00</t>
  </si>
  <si>
    <t xml:space="preserve">Harrenhal </t>
  </si>
  <si>
    <t>Catelyn Tarly</t>
  </si>
  <si>
    <t>Thoros Payne</t>
  </si>
  <si>
    <t>Varys Bolton</t>
  </si>
  <si>
    <t>Robb Clegane</t>
  </si>
  <si>
    <t>000.000.304-00</t>
  </si>
  <si>
    <t>Gendry Cerwyn</t>
  </si>
  <si>
    <t>000.000.153-00</t>
  </si>
  <si>
    <t xml:space="preserve">Lannisporto </t>
  </si>
  <si>
    <t>Stannis Crakehall</t>
  </si>
  <si>
    <t>000.000.351-00</t>
  </si>
  <si>
    <t>Robert Karstark</t>
  </si>
  <si>
    <t>000.000.184-00</t>
  </si>
  <si>
    <t>Jeor Baelish</t>
  </si>
  <si>
    <t>000.000.332-00</t>
  </si>
  <si>
    <t>000.000.042-00</t>
  </si>
  <si>
    <t>Lyanna Tarly</t>
  </si>
  <si>
    <t>000.000.232-00</t>
  </si>
  <si>
    <t>Loras  Tarth</t>
  </si>
  <si>
    <t>000.000.286-00</t>
  </si>
  <si>
    <t>Meera Payne</t>
  </si>
  <si>
    <t>000.000.02.1-00</t>
  </si>
  <si>
    <t>DORNE</t>
  </si>
  <si>
    <t>Aegon Redwyne</t>
  </si>
  <si>
    <t>000.000.347-00</t>
  </si>
  <si>
    <t>Daario Marbrand</t>
  </si>
  <si>
    <t>000.000.014-00</t>
  </si>
  <si>
    <t>000.000.008-00</t>
  </si>
  <si>
    <t>Viserys Florent</t>
  </si>
  <si>
    <t>000.000.129-00</t>
  </si>
  <si>
    <t>Tyrion Blackwood</t>
  </si>
  <si>
    <t>000.000.100-00</t>
  </si>
  <si>
    <t>Grey Worm Baratheon</t>
  </si>
  <si>
    <t>000.000.221-00</t>
  </si>
  <si>
    <t>000.000.339-00</t>
  </si>
  <si>
    <t>Ellaria Baelish</t>
  </si>
  <si>
    <t>000.000.336-00</t>
  </si>
  <si>
    <t>Daenerys Snow</t>
  </si>
  <si>
    <t xml:space="preserve">Dorne </t>
  </si>
  <si>
    <t>Missandei Glover</t>
  </si>
  <si>
    <t>Bronn Manderly</t>
  </si>
  <si>
    <t>000.000.074-00</t>
  </si>
  <si>
    <t>Asha Blackwood</t>
  </si>
  <si>
    <t>000.000.085-00</t>
  </si>
  <si>
    <t>Margaery Dondarrion</t>
  </si>
  <si>
    <t xml:space="preserve">Correrrio </t>
  </si>
  <si>
    <t>Asha Baratheon</t>
  </si>
  <si>
    <t>000.000.195-00</t>
  </si>
  <si>
    <t>Daario Tyrell</t>
  </si>
  <si>
    <t>000.000.251-00</t>
  </si>
  <si>
    <t>Melisandre Crakehall</t>
  </si>
  <si>
    <t>000.000.260-00</t>
  </si>
  <si>
    <t>Melisandre Clegane</t>
  </si>
  <si>
    <t>000.000.231-00</t>
  </si>
  <si>
    <t>Margaery Manderly</t>
  </si>
  <si>
    <t>000.000.222-00</t>
  </si>
  <si>
    <t>Aegon Umber</t>
  </si>
  <si>
    <t>000.000.356-00</t>
  </si>
  <si>
    <t>Tyrion Lannister</t>
  </si>
  <si>
    <t>Jaime Yronwood</t>
  </si>
  <si>
    <t>Roose Cerwyn</t>
  </si>
  <si>
    <t>000.000.047-00</t>
  </si>
  <si>
    <t>Rhaegar Payne</t>
  </si>
  <si>
    <t>000.000.253-00</t>
  </si>
  <si>
    <t>Olenna Reed</t>
  </si>
  <si>
    <t>000.000.248-00</t>
  </si>
  <si>
    <t xml:space="preserve">Braavos </t>
  </si>
  <si>
    <t>Thoros  Frey</t>
  </si>
  <si>
    <t>000.000.113-00</t>
  </si>
  <si>
    <t>Bran Yronwood</t>
  </si>
  <si>
    <t>Asha Tallhart</t>
  </si>
  <si>
    <t>Stannis  Cerwyn</t>
  </si>
  <si>
    <t>Robert Cerwyn</t>
  </si>
  <si>
    <t>Bran Bolton</t>
  </si>
  <si>
    <t>000.000.003-00</t>
  </si>
  <si>
    <t>Rhaegar Umber</t>
  </si>
  <si>
    <t>Gilly Mormont</t>
  </si>
  <si>
    <t>000.000.220-00</t>
  </si>
  <si>
    <t>Viserys  Umber</t>
  </si>
  <si>
    <t>000.000.155-00</t>
  </si>
  <si>
    <t>Roose Bolton</t>
  </si>
  <si>
    <t>Yara Targaryen</t>
  </si>
  <si>
    <t>000.000.059-00</t>
  </si>
  <si>
    <t>000.000.103-00</t>
  </si>
  <si>
    <t>Eddard Dayne</t>
  </si>
  <si>
    <t>Robert Mallister</t>
  </si>
  <si>
    <t>000.000.037-00</t>
  </si>
  <si>
    <t>Bronn Blackwood</t>
  </si>
  <si>
    <t>000.000.052-00</t>
  </si>
  <si>
    <t>Rhaegar Targaryen</t>
  </si>
  <si>
    <t>000.000.342-00</t>
  </si>
  <si>
    <t>Tyrion Tyrell</t>
  </si>
  <si>
    <t>Bran Dondarrion</t>
  </si>
  <si>
    <t>Melisandre Blackwood</t>
  </si>
  <si>
    <t>000.000.051-00</t>
  </si>
  <si>
    <t>Ellaria Targaryen</t>
  </si>
  <si>
    <t>000.000.149-00</t>
  </si>
  <si>
    <t>Grey Worm Targaryen</t>
  </si>
  <si>
    <t>000.000.060-00</t>
  </si>
  <si>
    <t>Jon Hightower</t>
  </si>
  <si>
    <t>000.000.081-00</t>
  </si>
  <si>
    <t>Asha Bolton</t>
  </si>
  <si>
    <t>Catelyn Westerling</t>
  </si>
  <si>
    <t>Catelyn Yronwood</t>
  </si>
  <si>
    <t>Bran Umber</t>
  </si>
  <si>
    <t>Thoros Hornwood</t>
  </si>
  <si>
    <t>000.000.245-00</t>
  </si>
  <si>
    <t>Lyanna Florent</t>
  </si>
  <si>
    <t>Lyanna Swyft</t>
  </si>
  <si>
    <t>000.000.006-00</t>
  </si>
  <si>
    <t>Lyanna Tarth</t>
  </si>
  <si>
    <t>000.000.345-00</t>
  </si>
  <si>
    <t>Jojen Reed</t>
  </si>
  <si>
    <t>000.000.136-00</t>
  </si>
  <si>
    <t>Tormund Glover</t>
  </si>
  <si>
    <t>000.000.087-00</t>
  </si>
  <si>
    <t>Jeor Martell</t>
  </si>
  <si>
    <t>000.000.061-00</t>
  </si>
  <si>
    <t>Thoros Yronwood</t>
  </si>
  <si>
    <t>000.000.201-00</t>
  </si>
  <si>
    <t>Petyr Snow</t>
  </si>
  <si>
    <t>Bronn Dondarrion</t>
  </si>
  <si>
    <t>000.000.036-00</t>
  </si>
  <si>
    <t>Tormund Karstark</t>
  </si>
  <si>
    <t>000.000.284-00</t>
  </si>
  <si>
    <t>Melisandre Targaryen</t>
  </si>
  <si>
    <t>000.000.170-00</t>
  </si>
  <si>
    <t>Robert Stark</t>
  </si>
  <si>
    <t>000.000.315-00</t>
  </si>
  <si>
    <t>Yara Mallister</t>
  </si>
  <si>
    <t>000.000.134-00</t>
  </si>
  <si>
    <t>Renly Mormont</t>
  </si>
  <si>
    <t>000.000.376-00</t>
  </si>
  <si>
    <t>Thoros Crakehall</t>
  </si>
  <si>
    <t>Petyr Greyjoy</t>
  </si>
  <si>
    <t>000.000.301-00</t>
  </si>
  <si>
    <t>Viserys Hightower</t>
  </si>
  <si>
    <t>000.000.080-00</t>
  </si>
  <si>
    <t>Jaime Dondarrion</t>
  </si>
  <si>
    <t>000.000.056-00</t>
  </si>
  <si>
    <t>Renly Dayne</t>
  </si>
  <si>
    <t>000.000.065-00</t>
  </si>
  <si>
    <t>Renly Bolton</t>
  </si>
  <si>
    <t>Samwell Yronwood</t>
  </si>
  <si>
    <t>000.000.372-00</t>
  </si>
  <si>
    <t>Podrick Swyft</t>
  </si>
  <si>
    <t>000.000.090-00</t>
  </si>
  <si>
    <t>Roose Dondarrion</t>
  </si>
  <si>
    <t>000.000.126-00</t>
  </si>
  <si>
    <t>Cersei Greyjoy</t>
  </si>
  <si>
    <t>000.000.265-00</t>
  </si>
  <si>
    <t>Olenna Hornwood</t>
  </si>
  <si>
    <t>Asha Hornwood</t>
  </si>
  <si>
    <t>000.000.363-00</t>
  </si>
  <si>
    <t>Arya Marbrand</t>
  </si>
  <si>
    <t>000.000.133-00</t>
  </si>
  <si>
    <t>Varys Lannister</t>
  </si>
  <si>
    <t>000.000.367-00</t>
  </si>
  <si>
    <t>Roose Bracken</t>
  </si>
  <si>
    <t>Jorah Hightower</t>
  </si>
  <si>
    <t>000.000.007-00</t>
  </si>
  <si>
    <t>Cersei Glover</t>
  </si>
  <si>
    <t>000.000.324-00</t>
  </si>
  <si>
    <t>Robb Baratheon</t>
  </si>
  <si>
    <t>000.000.365-00</t>
  </si>
  <si>
    <t>Beric Crakehall</t>
  </si>
  <si>
    <t>000.000.067-00</t>
  </si>
  <si>
    <t>Shae  Dayne</t>
  </si>
  <si>
    <t>000.000.312-00</t>
  </si>
  <si>
    <t>000.000.294-00</t>
  </si>
  <si>
    <t>Davos  Baratheon</t>
  </si>
  <si>
    <t>000.000.055-00</t>
  </si>
  <si>
    <t>Margaery Cerwyn</t>
  </si>
  <si>
    <t>000.000.211-00</t>
  </si>
  <si>
    <t>Ellaria Redwyne</t>
  </si>
  <si>
    <t>000.000.093-00</t>
  </si>
  <si>
    <t>000.000.010-00</t>
  </si>
  <si>
    <t>Eddard Mallister</t>
  </si>
  <si>
    <t>000.000.309-00</t>
  </si>
  <si>
    <t>Thoros Karstark</t>
  </si>
  <si>
    <t>000.000.012-00</t>
  </si>
  <si>
    <t>Olenna Bracken</t>
  </si>
  <si>
    <t>000.000.225-00</t>
  </si>
  <si>
    <t>Theon Baratheon</t>
  </si>
  <si>
    <t>000.000.375-00</t>
  </si>
  <si>
    <t>Bronn Royce</t>
  </si>
  <si>
    <t>Podrick Florent</t>
  </si>
  <si>
    <t>000.000.354-00</t>
  </si>
  <si>
    <t>Viserys Seaworth</t>
  </si>
  <si>
    <t>000.000.024-00</t>
  </si>
  <si>
    <t>Robert Hornwood</t>
  </si>
  <si>
    <t>000.000.259-00</t>
  </si>
  <si>
    <t>Jon Hornwood</t>
  </si>
  <si>
    <t>Ramsay Hornwood</t>
  </si>
  <si>
    <t>000.000..371-00</t>
  </si>
  <si>
    <t>000.000.371-00</t>
  </si>
  <si>
    <t>Jaime Seaworth</t>
  </si>
  <si>
    <t>000.000.263-00</t>
  </si>
  <si>
    <t>Rhaegar Stark</t>
  </si>
  <si>
    <t>000.000.119-00</t>
  </si>
  <si>
    <t>Aegon Blackwood</t>
  </si>
  <si>
    <t>000.000.118-00</t>
  </si>
  <si>
    <t>Margaery Dayne</t>
  </si>
  <si>
    <t>000.000.276-00</t>
  </si>
  <si>
    <t>Grey Worm Hornwood</t>
  </si>
  <si>
    <t>000.000.322-00</t>
  </si>
  <si>
    <t>Davos Umber</t>
  </si>
  <si>
    <t>000.000.353-00</t>
  </si>
  <si>
    <t>Tyrion Snow</t>
  </si>
  <si>
    <t>Yara Baelish</t>
  </si>
  <si>
    <t>Beric Seaworth</t>
  </si>
  <si>
    <t>000.000.025-00</t>
  </si>
  <si>
    <t>Lyanna Stark</t>
  </si>
  <si>
    <t>000.000.023-00</t>
  </si>
  <si>
    <t>Beric Manderly</t>
  </si>
  <si>
    <t>Catelyn  Dayne</t>
  </si>
  <si>
    <t>000.000.213-00</t>
  </si>
  <si>
    <t>Brienne Royce</t>
  </si>
  <si>
    <t>Jeor Lannister</t>
  </si>
  <si>
    <t>000.000.091-00</t>
  </si>
  <si>
    <t>Podrick Blackwood</t>
  </si>
  <si>
    <t>Jon Tarth</t>
  </si>
  <si>
    <t>000.000.208-00</t>
  </si>
  <si>
    <t>Sandor Dondarrion</t>
  </si>
  <si>
    <t>Meera Tarly</t>
  </si>
  <si>
    <t>000.000.326-00</t>
  </si>
  <si>
    <t>000.000.004-00</t>
  </si>
  <si>
    <t>Melisandre  Baelish</t>
  </si>
  <si>
    <t>000.000.152-00</t>
  </si>
  <si>
    <t>Cersei Clegane</t>
  </si>
  <si>
    <t>000.000.323-00</t>
  </si>
  <si>
    <t>Asha Arryn</t>
  </si>
  <si>
    <t>000.000.122-00</t>
  </si>
  <si>
    <t>Loras Clegane</t>
  </si>
  <si>
    <t>000.000.287-00</t>
  </si>
  <si>
    <t>Robb Greyjoy</t>
  </si>
  <si>
    <t>000.000.227-00</t>
  </si>
  <si>
    <t>Viserys Baratheon</t>
  </si>
  <si>
    <t>000.000.186-00</t>
  </si>
  <si>
    <t>Renly Tallhart</t>
  </si>
  <si>
    <t>000.000.104-00</t>
  </si>
  <si>
    <t>Ramsay Stark</t>
  </si>
  <si>
    <t>000.000.169-00</t>
  </si>
  <si>
    <t>Robert Manderly</t>
  </si>
  <si>
    <t>Loras Payne</t>
  </si>
  <si>
    <t>000.000.027-00</t>
  </si>
  <si>
    <t>000.000.280-00</t>
  </si>
  <si>
    <t>Bronn Bolton</t>
  </si>
  <si>
    <t>000.000.143-00</t>
  </si>
  <si>
    <t>Rickon Lannister</t>
  </si>
  <si>
    <t>000.000.197-00</t>
  </si>
  <si>
    <t>Jon Bolton</t>
  </si>
  <si>
    <t>000.000.130-00</t>
  </si>
  <si>
    <t>Robert Westerling</t>
  </si>
  <si>
    <t>000.000.105-00</t>
  </si>
  <si>
    <t>Tormund Royce</t>
  </si>
  <si>
    <t>000.000.297-00</t>
  </si>
  <si>
    <t>Theon Baelish</t>
  </si>
  <si>
    <t>000.000.380-00</t>
  </si>
  <si>
    <t>Thoros  Baelish</t>
  </si>
  <si>
    <t>000.000.011-00</t>
  </si>
  <si>
    <t>Renly Mallister</t>
  </si>
  <si>
    <t>Bronn Mallister</t>
  </si>
  <si>
    <t>000.000.200-00</t>
  </si>
  <si>
    <t>Petyr Mallister</t>
  </si>
  <si>
    <t>Daario  Dayne</t>
  </si>
  <si>
    <t>000.000.144-00</t>
  </si>
  <si>
    <t>Missandei Florent</t>
  </si>
  <si>
    <t>000.000.282-00</t>
  </si>
  <si>
    <t>Aegon Baelish</t>
  </si>
  <si>
    <t>Jorah Florent</t>
  </si>
  <si>
    <t>000.000.204-00</t>
  </si>
  <si>
    <t>Rhaegar Dayne</t>
  </si>
  <si>
    <t>000.000.335-00</t>
  </si>
  <si>
    <t>Rickon Redwyne</t>
  </si>
  <si>
    <t>Tyrion Karstark</t>
  </si>
  <si>
    <t>OESTE</t>
  </si>
  <si>
    <t>Jojen Hornwood</t>
  </si>
  <si>
    <t>000.000.128-00</t>
  </si>
  <si>
    <t>Tormund  Cerwyn</t>
  </si>
  <si>
    <t>000.000.039-00</t>
  </si>
  <si>
    <t>Jeor Florent</t>
  </si>
  <si>
    <t>Cersei Stark</t>
  </si>
  <si>
    <t>000.000.293-00</t>
  </si>
  <si>
    <t>Jorah Seaworth</t>
  </si>
  <si>
    <t>Renly Seaworth</t>
  </si>
  <si>
    <t>Tormund Tyrell</t>
  </si>
  <si>
    <t>000.000.378-00</t>
  </si>
  <si>
    <t>Beric  Karstark</t>
  </si>
  <si>
    <t>000.000.172-00</t>
  </si>
  <si>
    <t>Loras Greyjoy</t>
  </si>
  <si>
    <t>000.000.362-00</t>
  </si>
  <si>
    <t>Robb Stark</t>
  </si>
  <si>
    <t>000.000.228-00</t>
  </si>
  <si>
    <t>Jeor Marbrand</t>
  </si>
  <si>
    <t>000.000.073-00</t>
  </si>
  <si>
    <t>Ramsay Dondarrion</t>
  </si>
  <si>
    <t>000.000.054-00</t>
  </si>
  <si>
    <t>Daenerys Tallhart</t>
  </si>
  <si>
    <t>000.000.092-00</t>
  </si>
  <si>
    <t>Theon Karstark</t>
  </si>
  <si>
    <t>000.000.296-00</t>
  </si>
  <si>
    <t>000.000.303-00</t>
  </si>
  <si>
    <t>Catelyn Lannister</t>
  </si>
  <si>
    <t>000.000.110-00</t>
  </si>
  <si>
    <t>Margaery Tyrell</t>
  </si>
  <si>
    <t>000.000.107-00</t>
  </si>
  <si>
    <t>Daenerys Seaworth</t>
  </si>
  <si>
    <t>000.000.341-00</t>
  </si>
  <si>
    <t>Daario Clegane</t>
  </si>
  <si>
    <t>000.000.270-00</t>
  </si>
  <si>
    <t>Robert Tarth</t>
  </si>
  <si>
    <t>000.000.001-00</t>
  </si>
  <si>
    <t>Eddard Stark</t>
  </si>
  <si>
    <t>000.000.015-00</t>
  </si>
  <si>
    <t>Loras Lannister</t>
  </si>
  <si>
    <t>000.000.302-00</t>
  </si>
  <si>
    <t>Podrick Targaryen</t>
  </si>
  <si>
    <t>000.000.050-00</t>
  </si>
  <si>
    <t>Gilly Swyft</t>
  </si>
  <si>
    <t>000.000.261-00</t>
  </si>
  <si>
    <t>000.000.321-00</t>
  </si>
  <si>
    <t>Thoros Westerling</t>
  </si>
  <si>
    <t>Roose Baelish</t>
  </si>
  <si>
    <t>000.000.366-00</t>
  </si>
  <si>
    <t>Ellaria Seaworth</t>
  </si>
  <si>
    <t>000.000.125-00</t>
  </si>
  <si>
    <t>000.000.346-00</t>
  </si>
  <si>
    <t>Roose Manderly</t>
  </si>
  <si>
    <t>000.000.135-00</t>
  </si>
  <si>
    <t>Bran Florent</t>
  </si>
  <si>
    <t>000.000.218-00</t>
  </si>
  <si>
    <t>Jeor Karstark</t>
  </si>
  <si>
    <t>000.000.310-00</t>
  </si>
  <si>
    <t>Jeor  Payne</t>
  </si>
  <si>
    <t>Beric Tallhart</t>
  </si>
  <si>
    <t>000.000.291-00</t>
  </si>
  <si>
    <t>Eddard Greyjoy</t>
  </si>
  <si>
    <t>000.000.238-00</t>
  </si>
  <si>
    <t>Bran Tarly</t>
  </si>
  <si>
    <t>000.000.269-00</t>
  </si>
  <si>
    <t>Davos Royce</t>
  </si>
  <si>
    <t xml:space="preserve"> Py</t>
  </si>
  <si>
    <t>Daario Tarth</t>
  </si>
  <si>
    <t xml:space="preserve"> Braavos</t>
  </si>
  <si>
    <t>Robert Payne</t>
  </si>
  <si>
    <t>000.000.068-00</t>
  </si>
  <si>
    <t xml:space="preserve"> Monte Chifre</t>
  </si>
  <si>
    <t>Missandei Arryn</t>
  </si>
  <si>
    <t>000.000.368-00</t>
  </si>
  <si>
    <t>Pedra do Dragio</t>
  </si>
  <si>
    <t>Seaworth</t>
  </si>
  <si>
    <t xml:space="preserve"> Castelo Negro</t>
  </si>
  <si>
    <t>Podrick Stark</t>
  </si>
  <si>
    <t>000.000.029-00</t>
  </si>
  <si>
    <t xml:space="preserve"> Ilha dos Ursos</t>
  </si>
  <si>
    <t>000.000.262-00</t>
  </si>
  <si>
    <t>Stark</t>
  </si>
  <si>
    <t>000.000.021-00</t>
  </si>
  <si>
    <t>20/22/1980</t>
  </si>
  <si>
    <t>Roose Frey</t>
  </si>
  <si>
    <t>000.000.292-00</t>
  </si>
  <si>
    <t xml:space="preserve"> lha dos Ursos</t>
  </si>
  <si>
    <t>Tyrion Westerling</t>
  </si>
  <si>
    <t>Shae Blackwood</t>
  </si>
  <si>
    <t>Aegon Clegane</t>
  </si>
  <si>
    <t>000.000.330-00</t>
  </si>
  <si>
    <t>Margaery Redwyne</t>
  </si>
  <si>
    <t>000.000.162.-00</t>
  </si>
  <si>
    <t xml:space="preserve"> Correrrio</t>
  </si>
  <si>
    <t>Bronn Don Arrion</t>
  </si>
  <si>
    <t>Ellaria Yronwood</t>
  </si>
  <si>
    <t>000.000.176-00</t>
  </si>
  <si>
    <t>Olenna Lannister</t>
  </si>
  <si>
    <t xml:space="preserve"> Pedra do Dragio</t>
  </si>
  <si>
    <t>Sansa Clegane</t>
  </si>
  <si>
    <t>000.000.174-00</t>
  </si>
  <si>
    <t>Terras da tempestade</t>
  </si>
  <si>
    <t>Daario Yronwood</t>
  </si>
  <si>
    <t>Ramsay Karstark</t>
  </si>
  <si>
    <t>000.000.185-00</t>
  </si>
  <si>
    <t>000.000.048-00</t>
  </si>
  <si>
    <t>Meera Lannister</t>
  </si>
  <si>
    <t>000.000.121-00</t>
  </si>
  <si>
    <t xml:space="preserve"> Ninho da Águia</t>
  </si>
  <si>
    <t>000.000.268-00</t>
  </si>
  <si>
    <t>Podrick Umber</t>
  </si>
  <si>
    <t xml:space="preserve"> Pyke</t>
  </si>
  <si>
    <t>Rickon Hornwood</t>
  </si>
  <si>
    <t>000.000.078-00</t>
  </si>
  <si>
    <t xml:space="preserve"> Ponta Tempestade</t>
  </si>
  <si>
    <t>Arya Bolton</t>
  </si>
  <si>
    <t>Ramsay Blackwood</t>
  </si>
  <si>
    <t>000.000.035-00</t>
  </si>
  <si>
    <t xml:space="preserve"> Jardim de Cima</t>
  </si>
  <si>
    <t xml:space="preserve">2
</t>
  </si>
  <si>
    <t xml:space="preserve"> </t>
  </si>
  <si>
    <t>Tipo de dado</t>
  </si>
  <si>
    <t>Indicador ou cálculo</t>
  </si>
  <si>
    <t>Gráfico</t>
  </si>
  <si>
    <t>Insight</t>
  </si>
  <si>
    <t>Como ocorre a distribuição da renda mensal?</t>
  </si>
  <si>
    <t>Numérico discreto</t>
  </si>
  <si>
    <t>Quantos indivíduos se enquadram em cada faixa de renda mensal?</t>
  </si>
  <si>
    <t>Colunas</t>
  </si>
  <si>
    <t>Há uma concentração inicial dos indivíduos na faixa de renda de até R$ 1600,00; a distribuição oscila em torno de 15 a 25 indivíduos para as faixas de R$ 1600,00 a R$28000,00. Para a faixa de renda acima de R$28000,00, também há um número expressivo, em torno de 40 indivíduos, afastando-se da média dos dados.</t>
  </si>
  <si>
    <t>uso de fórmulas OU, E e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</si>
</sst>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000000000\-00"/>
    <numFmt numFmtId="166" formatCode="_-[$R$-416]\ * #,##0.00_-;\-[$R$-416]\ * #,##0.00_-;_-[$R$-416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32" borderId="0" xfId="4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 wrapText="1"/>
    </xf>
    <xf numFmtId="0" fontId="0" fillId="34" borderId="10" xfId="0" applyFont="1" applyFill="1" applyBorder="1" applyAlignment="1">
      <alignment horizontal="center" vertical="center" wrapText="1"/>
    </xf>
    <xf numFmtId="0" fontId="0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5" borderId="0" xfId="4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0000000\-00"/>
      <alignment horizontal="center" vertical="bottom" textRotation="0" wrapText="0" indent="0" justifyLastLine="0" shrinkToFit="0" readingOrder="0"/>
    </dxf>
    <dxf>
      <numFmt numFmtId="165" formatCode="000000000\-00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wrapText="1"/>
    </dxf>
    <dxf>
      <alignment horizontal="center" vertical="center" wrapText="1"/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_xlchart.v1.0</cx:f>
      </cx:numDim>
    </cx:data>
  </cx:chartData>
  <cx:chart>
    <cx:title pos="t" align="ctr" overlay="0">
      <cx:tx>
        <cx:txData>
          <cx:v>Distribuição da Renda Mensal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baseline="0">
              <a:solidFill>
                <a:srgbClr val="C65911"/>
              </a:solidFill>
              <a:latin typeface="+mn-lt"/>
              <a:ea typeface="+mn-ea"/>
              <a:cs typeface="+mn-cs"/>
            </a:defRPr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rgbClr val="C65911"/>
              </a:solidFill>
              <a:effectLst/>
              <a:uLnTx/>
              <a:uFillTx/>
              <a:latin typeface="Calibri" panose="020F0502020204030204"/>
            </a:rPr>
            <a:t>Distribuição da Renda Mensal</a:t>
          </a:r>
        </a:p>
      </cx:txPr>
    </cx:title>
    <cx:plotArea>
      <cx:plotAreaRegion>
        <cx:series layoutId="clusteredColumn" uniqueId="{6A60FDAD-5F39-423F-901F-48F3AD0F6DF5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0"/>
          </cx:dataLabels>
          <cx:dataId val="0"/>
          <cx:layoutPr>
            <cx:binning intervalClosed="r" underflow="0" overflow="28000">
              <cx:binCount val="20"/>
            </cx:binning>
          </cx:layoutPr>
        </cx:series>
      </cx:plotAreaRegion>
      <cx:axis id="0">
        <cx:catScaling gapWidth="0.189999998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numFmt formatCode="Geral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rgbClr val="E2EFDA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9</xdr:row>
      <xdr:rowOff>104775</xdr:rowOff>
    </xdr:from>
    <xdr:to>
      <xdr:col>8</xdr:col>
      <xdr:colOff>1247775</xdr:colOff>
      <xdr:row>31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33">
              <a:extLst>
                <a:ext uri="{FF2B5EF4-FFF2-40B4-BE49-F238E27FC236}">
                  <a16:creationId xmlns:a16="http://schemas.microsoft.com/office/drawing/2014/main" id="{6CB2333A-1095-0B59-E17F-39CDCAC6BF0C}"/>
                </a:ext>
                <a:ext uri="{147F2762-F138-4A5C-976F-8EAC2B608ADB}">
                  <a16:predDERef xmlns:a16="http://schemas.microsoft.com/office/drawing/2014/main" pred="{F6AFC4C3-796B-8239-B707-C5E1364C4A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CD9C5E-3AB1-41A4-B920-211947B94C5D}" name="Tabela3" displayName="Tabela3" ref="E5:G16" totalsRowShown="0" headerRowDxfId="37" dataDxfId="36" tableBorderDxfId="35">
  <autoFilter ref="E5:G16" xr:uid="{C2CD9C5E-3AB1-41A4-B920-211947B94C5D}"/>
  <tableColumns count="3">
    <tableColumn id="1" xr3:uid="{19C0CDE2-8E24-4C17-83BE-4FDF877A34E2}" name="coluna" dataDxfId="34"/>
    <tableColumn id="2" xr3:uid="{9C041932-AE5B-4AC1-B29B-0D10FEC70DD0}" name="fórmulas usadas" dataDxfId="33"/>
    <tableColumn id="4" xr3:uid="{385AF62C-9F43-465C-954D-3DC6AF575C9B}" name="descrição" dataDxfId="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073E15-6FEE-47E4-BCBB-D3BD8DA964E8}" name="Tabela5" displayName="Tabela5" ref="D3:I16" totalsRowShown="0" headerRowDxfId="46" dataDxfId="45" tableBorderDxfId="44">
  <autoFilter ref="D3:I16" xr:uid="{2D073E15-6FEE-47E4-BCBB-D3BD8DA964E8}"/>
  <tableColumns count="6">
    <tableColumn id="1" xr3:uid="{CCAE33DE-AC02-409A-A4E4-06E8AF2552DD}" name="Coluna" dataDxfId="43"/>
    <tableColumn id="2" xr3:uid="{A157991C-C4C8-4FF7-923F-8C649F22C705}" name="Problema" dataDxfId="42"/>
    <tableColumn id="3" xr3:uid="{9EB84FE9-99DA-4242-B44D-D1FF7904A2B3}" name="Exemplo" dataDxfId="41"/>
    <tableColumn id="5" xr3:uid="{C5F9AC89-CE98-46B6-9C89-55DA3AD13688}" name="Ação" dataDxfId="40"/>
    <tableColumn id="6" xr3:uid="{5F24E63C-EB8C-431E-8420-E63928CD81CD}" name="Resultado" dataDxfId="39"/>
    <tableColumn id="7" xr3:uid="{153C2295-2F62-4B19-A37E-36FBF795187F}" name="Decisão/Status" dataDxfId="3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FBFDD-AE2B-46C1-BAB5-B17E9329922D}" name="Tabela1" displayName="Tabela1" ref="A1:R403" totalsRowShown="0" headerRowDxfId="31" dataDxfId="30">
  <autoFilter ref="A1:R403" xr:uid="{524FBFDD-AE2B-46C1-BAB5-B17E9329922D}"/>
  <sortState xmlns:xlrd2="http://schemas.microsoft.com/office/spreadsheetml/2017/richdata2" ref="A2:R403">
    <sortCondition ref="J1:J403"/>
  </sortState>
  <tableColumns count="18">
    <tableColumn id="1" xr3:uid="{B0A41D15-ED72-457C-967C-4C8D92BE5823}" name="status" dataDxfId="29"/>
    <tableColumn id="2" xr3:uid="{82F85833-7BC3-416B-ABF4-4F45367C1701}" name="nome" dataDxfId="28"/>
    <tableColumn id="3" xr3:uid="{AD43580B-C465-4480-8FFC-5160851A754D}" name="cpf" dataDxfId="27"/>
    <tableColumn id="16" xr3:uid="{F33113BA-C9DA-4771-8BC7-DEF9478D185A}" name="CPF2" dataDxfId="26">
      <calculatedColumnFormula>TEXT(C2,"000\.000\.000\-00")</calculatedColumnFormula>
    </tableColumn>
    <tableColumn id="4" xr3:uid="{EFDA68BD-D61D-4041-81E1-5291B68ACA5B}" name="idade" dataDxfId="25"/>
    <tableColumn id="5" xr3:uid="{388C3ED0-C859-4E05-9A22-655CFA886E91}" name="data_nascimento" dataDxfId="24"/>
    <tableColumn id="6" xr3:uid="{482D6F4D-71B3-4943-96A5-6ED2C5E722D2}" name="cidade" dataDxfId="23"/>
    <tableColumn id="7" xr3:uid="{DCD2D73E-0585-4314-A53D-E4462CD9D5AA}" name="regiao" dataDxfId="22"/>
    <tableColumn id="15" xr3:uid="{46CF801F-265A-44AC-BA07-EA5CAD312C6C}" name="região" dataDxfId="21">
      <calculatedColumnFormula>PROPER(Tabela1[[#This Row],[regiao]])</calculatedColumnFormula>
    </tableColumn>
    <tableColumn id="8" xr3:uid="{A3A08B76-F7CF-406C-92E7-57352B6389DB}" name="renda_mensal" dataDxfId="20"/>
    <tableColumn id="9" xr3:uid="{9788E721-D232-4321-B1BD-B749650608EB}" name="credito_tomado" dataDxfId="19"/>
    <tableColumn id="10" xr3:uid="{82A06F03-484B-4740-87DA-E1AD8F2B7989}" name="flag_inadimplente" dataDxfId="18"/>
    <tableColumn id="11" xr3:uid="{6DA1E2ED-A5B5-4A66-8298-6ACC24F9875D}" name="qtde_" dataDxfId="17"/>
    <tableColumn id="12" xr3:uid="{D328B9ED-11E6-48FF-AFFF-1A38A98836F2}" name="nivel_risco" dataDxfId="16">
      <calculatedColumnFormula array="1">_xlfn.IFS(Tabela1[[#This Row],[qtde_]]="N/A", "N/A",Tabela1[[#This Row],[qtde_]]&lt;11,"BAIXO",Tabela1[[#This Row],[qtde_]]&lt;26,"MÉDIO",Tabela1[[#This Row],[qtde_]]&gt;=26,"ALTO")</calculatedColumnFormula>
    </tableColumn>
    <tableColumn id="13" xr3:uid="{5753E7E2-E8E8-4AA2-B731-C602F75D4428}" name="análise_risco" dataDxfId="15">
      <calculatedColumnFormula>IF(AND(Tabela1[[#This Row],[nivel_risco]]="ALTO",Tabela1[[#This Row],[flag_inadimplente]] = "Sim"),"negada","aprovada")</calculatedColumnFormula>
    </tableColumn>
    <tableColumn id="17" xr3:uid="{1DF7DF45-AA68-4587-9106-8492DCD47197}" name="análise_crédito" dataDxfId="14">
      <calculatedColumnFormula>IF(AND(Tabela1[[#This Row],[credito_tomado]]&gt;50000,Tabela1[[#This Row],[flag_inadimplente]]="Sim"),"negada","aprovada")</calculatedColumnFormula>
    </tableColumn>
    <tableColumn id="14" xr3:uid="{41B55B10-D000-42E2-8B76-9228C4173160}" name="valor_solicitado" dataDxfId="13"/>
    <tableColumn id="18" xr3:uid="{F2D0930D-FC31-404A-A3E3-8655E92C4692}" name="liberação_de_crédito" dataDxfId="12">
      <calculatedColumnFormula array="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664E26-A34B-4390-90E1-A661C5AD1702}" name="Tabela4" displayName="Tabela4" ref="F4:J5" totalsRowShown="0" headerRowDxfId="11" dataDxfId="10">
  <autoFilter ref="F4:J5" xr:uid="{29664E26-A34B-4390-90E1-A661C5AD1702}"/>
  <tableColumns count="5">
    <tableColumn id="1" xr3:uid="{8838E18C-7F04-465F-AA84-DEB680A1B4E0}" name=" " dataDxfId="9"/>
    <tableColumn id="2" xr3:uid="{34CEF66E-4FBB-4CB4-9AF7-80E5D7571138}" name="Tipo de dado" dataDxfId="8"/>
    <tableColumn id="3" xr3:uid="{FDB66C56-CDF1-43D7-94AA-DF7EDFF0AD19}" name="Indicador ou cálculo" dataDxfId="7"/>
    <tableColumn id="4" xr3:uid="{5FBF260B-15AC-4D5A-9944-DE935A54849F}" name="Gráfico" dataDxfId="6"/>
    <tableColumn id="5" xr3:uid="{C6B4989B-4593-446D-B32D-1B4DA1E0BB2C}" name="Insight" dataDxfId="5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BE05-DF26-4F05-BFC4-962CBF1EEFB2}">
  <dimension ref="E5:N24"/>
  <sheetViews>
    <sheetView topLeftCell="A13" workbookViewId="0">
      <selection activeCell="K15" sqref="K15"/>
    </sheetView>
  </sheetViews>
  <sheetFormatPr defaultRowHeight="15" x14ac:dyDescent="0.2"/>
  <cols>
    <col min="5" max="7" width="28.25" customWidth="1"/>
  </cols>
  <sheetData>
    <row r="5" spans="5:14" x14ac:dyDescent="0.2">
      <c r="E5" s="16" t="s">
        <v>0</v>
      </c>
      <c r="F5" s="16" t="s">
        <v>1</v>
      </c>
      <c r="G5" s="16" t="s">
        <v>2</v>
      </c>
      <c r="H5" s="24"/>
      <c r="I5" s="13"/>
      <c r="J5" s="13"/>
      <c r="K5" s="13"/>
      <c r="L5" s="13"/>
      <c r="M5" s="13"/>
      <c r="N5" s="13"/>
    </row>
    <row r="6" spans="5:14" ht="44.25" customHeight="1" x14ac:dyDescent="0.2">
      <c r="E6" s="21" t="s">
        <v>3</v>
      </c>
      <c r="F6" s="16" t="s">
        <v>4</v>
      </c>
      <c r="G6" s="16" t="s">
        <v>5</v>
      </c>
      <c r="H6" s="24"/>
      <c r="I6" s="13"/>
      <c r="J6" s="13"/>
      <c r="K6" s="13"/>
      <c r="L6" s="13"/>
      <c r="M6" s="13"/>
      <c r="N6" s="13"/>
    </row>
    <row r="7" spans="5:14" ht="44.25" customHeight="1" x14ac:dyDescent="0.2">
      <c r="E7" s="22" t="s">
        <v>6</v>
      </c>
      <c r="F7" s="16" t="s">
        <v>4</v>
      </c>
      <c r="G7" s="16" t="s">
        <v>5</v>
      </c>
      <c r="H7" s="24"/>
      <c r="I7" s="13"/>
      <c r="J7" s="13"/>
      <c r="K7" s="13"/>
      <c r="L7" s="13"/>
      <c r="M7" s="13"/>
      <c r="N7" s="13"/>
    </row>
    <row r="8" spans="5:14" ht="44.25" customHeight="1" x14ac:dyDescent="0.2">
      <c r="E8" s="21" t="s">
        <v>7</v>
      </c>
      <c r="F8" s="16" t="s">
        <v>8</v>
      </c>
      <c r="G8" s="16" t="s">
        <v>9</v>
      </c>
      <c r="H8" s="24"/>
      <c r="I8" s="13"/>
      <c r="J8" s="13"/>
      <c r="K8" s="13"/>
      <c r="L8" s="13"/>
      <c r="M8" s="13"/>
      <c r="N8" s="13"/>
    </row>
    <row r="9" spans="5:14" ht="44.25" customHeight="1" x14ac:dyDescent="0.2">
      <c r="E9" s="22" t="s">
        <v>10</v>
      </c>
      <c r="F9" s="16" t="s">
        <v>11</v>
      </c>
      <c r="G9" s="16" t="s">
        <v>12</v>
      </c>
      <c r="H9" s="24"/>
      <c r="I9" s="13"/>
      <c r="J9" s="13"/>
      <c r="K9" s="13"/>
      <c r="L9" s="13"/>
      <c r="M9" s="13"/>
      <c r="N9" s="13"/>
    </row>
    <row r="10" spans="5:14" ht="44.25" customHeight="1" x14ac:dyDescent="0.2">
      <c r="E10" s="21" t="s">
        <v>13</v>
      </c>
      <c r="F10" s="16" t="s">
        <v>11</v>
      </c>
      <c r="G10" s="16" t="s">
        <v>14</v>
      </c>
      <c r="H10" s="24"/>
      <c r="I10" s="13"/>
      <c r="J10" s="13"/>
      <c r="K10" s="13"/>
      <c r="L10" s="13"/>
      <c r="M10" s="13"/>
      <c r="N10" s="13"/>
    </row>
    <row r="11" spans="5:14" ht="44.25" customHeight="1" x14ac:dyDescent="0.2">
      <c r="E11" s="22" t="s">
        <v>15</v>
      </c>
      <c r="F11" s="16" t="s">
        <v>16</v>
      </c>
      <c r="G11" s="16" t="s">
        <v>17</v>
      </c>
      <c r="H11" s="24"/>
      <c r="I11" s="13"/>
      <c r="J11" s="13"/>
      <c r="K11" s="13"/>
      <c r="L11" s="13"/>
      <c r="M11" s="13"/>
      <c r="N11" s="13"/>
    </row>
    <row r="12" spans="5:14" ht="44.25" customHeight="1" x14ac:dyDescent="0.2">
      <c r="E12" s="21" t="s">
        <v>18</v>
      </c>
      <c r="F12" s="16" t="s">
        <v>4</v>
      </c>
      <c r="G12" s="16" t="s">
        <v>5</v>
      </c>
      <c r="H12" s="24"/>
      <c r="I12" s="13"/>
      <c r="J12" s="13"/>
      <c r="K12" s="13"/>
      <c r="L12" s="13"/>
      <c r="M12" s="13"/>
      <c r="N12" s="13"/>
    </row>
    <row r="13" spans="5:14" ht="44.25" customHeight="1" x14ac:dyDescent="0.2">
      <c r="E13" s="22" t="s">
        <v>19</v>
      </c>
      <c r="F13" s="16" t="s">
        <v>11</v>
      </c>
      <c r="G13" s="16" t="s">
        <v>20</v>
      </c>
      <c r="H13" s="24"/>
      <c r="I13" s="13"/>
      <c r="J13" s="13"/>
      <c r="K13" s="13"/>
      <c r="L13" s="13"/>
      <c r="M13" s="13"/>
      <c r="N13" s="13"/>
    </row>
    <row r="14" spans="5:14" ht="44.25" customHeight="1" x14ac:dyDescent="0.2">
      <c r="E14" s="21" t="s">
        <v>21</v>
      </c>
      <c r="F14" s="16" t="s">
        <v>11</v>
      </c>
      <c r="G14" s="16" t="s">
        <v>20</v>
      </c>
      <c r="H14" s="24"/>
      <c r="I14" s="13"/>
      <c r="J14" s="13"/>
      <c r="K14" s="13"/>
      <c r="L14" s="13"/>
      <c r="M14" s="13"/>
      <c r="N14" s="13"/>
    </row>
    <row r="15" spans="5:14" ht="44.25" customHeight="1" x14ac:dyDescent="0.2">
      <c r="E15" s="22" t="s">
        <v>22</v>
      </c>
      <c r="F15" s="16" t="s">
        <v>11</v>
      </c>
      <c r="G15" s="16" t="s">
        <v>23</v>
      </c>
      <c r="H15" s="24"/>
      <c r="I15" s="13"/>
      <c r="J15" s="13"/>
      <c r="K15" s="13"/>
      <c r="L15" s="13"/>
      <c r="M15" s="13"/>
      <c r="N15" s="13"/>
    </row>
    <row r="16" spans="5:14" ht="44.25" customHeight="1" x14ac:dyDescent="0.2">
      <c r="E16" s="23" t="s">
        <v>24</v>
      </c>
      <c r="F16" s="16" t="s">
        <v>11</v>
      </c>
      <c r="G16" s="16" t="s">
        <v>25</v>
      </c>
      <c r="H16" s="24"/>
      <c r="I16" s="13"/>
      <c r="J16" s="13"/>
      <c r="K16" s="13"/>
      <c r="L16" s="13"/>
      <c r="M16" s="13"/>
      <c r="N16" s="13"/>
    </row>
    <row r="17" spans="5:14" ht="33.75" customHeight="1" x14ac:dyDescent="0.2">
      <c r="E17" s="24"/>
      <c r="F17" s="24"/>
      <c r="G17" s="24"/>
      <c r="H17" s="24"/>
      <c r="I17" s="13"/>
      <c r="J17" s="13"/>
      <c r="K17" s="13"/>
      <c r="L17" s="13"/>
      <c r="M17" s="13"/>
      <c r="N17" s="13"/>
    </row>
    <row r="18" spans="5:14" x14ac:dyDescent="0.2"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5:14" x14ac:dyDescent="0.2"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5:14" x14ac:dyDescent="0.2"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5:14" x14ac:dyDescent="0.2"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5:14" x14ac:dyDescent="0.2"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5:14" x14ac:dyDescent="0.2"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5:14" x14ac:dyDescent="0.2">
      <c r="E24" s="13"/>
      <c r="F24" s="13"/>
      <c r="G24" s="13"/>
      <c r="H24" s="13"/>
      <c r="I24" s="13"/>
      <c r="J24" s="13"/>
      <c r="K24" s="13"/>
      <c r="L24" s="13"/>
      <c r="M24" s="13"/>
      <c r="N24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BC77-0631-4D92-A896-2D99C630C320}">
  <dimension ref="D3:J17"/>
  <sheetViews>
    <sheetView tabSelected="1" topLeftCell="L10" workbookViewId="0">
      <selection activeCell="H15" sqref="H15"/>
    </sheetView>
  </sheetViews>
  <sheetFormatPr defaultRowHeight="15" x14ac:dyDescent="0.2"/>
  <cols>
    <col min="4" max="8" width="37.125" style="13" customWidth="1"/>
    <col min="9" max="9" width="37.125" customWidth="1"/>
  </cols>
  <sheetData>
    <row r="3" spans="4:10" x14ac:dyDescent="0.2">
      <c r="D3" s="17" t="s">
        <v>26</v>
      </c>
      <c r="E3" s="17" t="s">
        <v>27</v>
      </c>
      <c r="F3" s="17" t="s">
        <v>28</v>
      </c>
      <c r="G3" s="17" t="s">
        <v>29</v>
      </c>
      <c r="H3" s="17" t="s">
        <v>30</v>
      </c>
      <c r="I3" s="18" t="s">
        <v>31</v>
      </c>
      <c r="J3" s="15"/>
    </row>
    <row r="4" spans="4:10" ht="90.75" customHeight="1" x14ac:dyDescent="0.2">
      <c r="D4" s="16" t="s">
        <v>3</v>
      </c>
      <c r="E4" s="16" t="s">
        <v>32</v>
      </c>
      <c r="F4" s="16" t="s">
        <v>33</v>
      </c>
      <c r="G4" s="16" t="s">
        <v>34</v>
      </c>
      <c r="H4" s="16" t="s">
        <v>35</v>
      </c>
      <c r="I4" s="19" t="s">
        <v>36</v>
      </c>
      <c r="J4" s="15"/>
    </row>
    <row r="5" spans="4:10" ht="90.75" customHeight="1" x14ac:dyDescent="0.2">
      <c r="D5" s="16" t="s">
        <v>6</v>
      </c>
      <c r="E5" s="16" t="s">
        <v>32</v>
      </c>
      <c r="F5" s="16" t="s">
        <v>37</v>
      </c>
      <c r="G5" s="16" t="s">
        <v>34</v>
      </c>
      <c r="H5" s="16" t="s">
        <v>35</v>
      </c>
      <c r="I5" s="19" t="s">
        <v>36</v>
      </c>
      <c r="J5" s="15"/>
    </row>
    <row r="6" spans="4:10" ht="90.75" customHeight="1" x14ac:dyDescent="0.2">
      <c r="D6" s="16" t="s">
        <v>7</v>
      </c>
      <c r="E6" s="16" t="s">
        <v>38</v>
      </c>
      <c r="F6" s="16">
        <v>8400</v>
      </c>
      <c r="G6" s="16" t="s">
        <v>39</v>
      </c>
      <c r="H6" s="16" t="s">
        <v>40</v>
      </c>
      <c r="I6" s="19" t="s">
        <v>36</v>
      </c>
      <c r="J6" s="15"/>
    </row>
    <row r="7" spans="4:10" ht="90.75" customHeight="1" x14ac:dyDescent="0.2">
      <c r="D7" s="16" t="s">
        <v>10</v>
      </c>
      <c r="E7" s="16" t="s">
        <v>41</v>
      </c>
      <c r="F7" s="16" t="s">
        <v>42</v>
      </c>
      <c r="G7" s="16" t="s">
        <v>43</v>
      </c>
      <c r="H7" s="16" t="s">
        <v>44</v>
      </c>
      <c r="I7" s="19" t="s">
        <v>36</v>
      </c>
      <c r="J7" s="15"/>
    </row>
    <row r="8" spans="4:10" ht="90.75" customHeight="1" x14ac:dyDescent="0.2">
      <c r="D8" s="16" t="s">
        <v>13</v>
      </c>
      <c r="E8" s="16" t="s">
        <v>45</v>
      </c>
      <c r="F8" s="16">
        <v>33892</v>
      </c>
      <c r="G8" s="16" t="s">
        <v>46</v>
      </c>
      <c r="H8" s="16" t="s">
        <v>47</v>
      </c>
      <c r="I8" s="19" t="s">
        <v>36</v>
      </c>
      <c r="J8" s="15"/>
    </row>
    <row r="9" spans="4:10" ht="90.75" customHeight="1" x14ac:dyDescent="0.2">
      <c r="D9" s="16" t="s">
        <v>15</v>
      </c>
      <c r="E9" s="16" t="s">
        <v>48</v>
      </c>
      <c r="F9" s="16" t="s">
        <v>49</v>
      </c>
      <c r="G9" s="20" t="s">
        <v>50</v>
      </c>
      <c r="H9" s="16" t="s">
        <v>51</v>
      </c>
      <c r="I9" s="19" t="s">
        <v>36</v>
      </c>
      <c r="J9" s="15"/>
    </row>
    <row r="10" spans="4:10" ht="90.75" customHeight="1" x14ac:dyDescent="0.2">
      <c r="D10" s="16" t="s">
        <v>18</v>
      </c>
      <c r="E10" s="16" t="s">
        <v>52</v>
      </c>
      <c r="F10" s="16" t="s">
        <v>53</v>
      </c>
      <c r="G10" s="20" t="s">
        <v>34</v>
      </c>
      <c r="H10" s="16" t="s">
        <v>35</v>
      </c>
      <c r="I10" s="19" t="s">
        <v>36</v>
      </c>
      <c r="J10" s="15"/>
    </row>
    <row r="11" spans="4:10" ht="90.75" customHeight="1" x14ac:dyDescent="0.2">
      <c r="D11" s="16" t="s">
        <v>19</v>
      </c>
      <c r="E11" s="16" t="s">
        <v>54</v>
      </c>
      <c r="F11" s="16">
        <v>16500</v>
      </c>
      <c r="G11" s="16" t="s">
        <v>55</v>
      </c>
      <c r="H11" s="16" t="s">
        <v>56</v>
      </c>
      <c r="I11" s="19" t="s">
        <v>36</v>
      </c>
      <c r="J11" s="15"/>
    </row>
    <row r="12" spans="4:10" ht="90.75" customHeight="1" x14ac:dyDescent="0.2">
      <c r="D12" s="16" t="s">
        <v>21</v>
      </c>
      <c r="E12" s="16" t="s">
        <v>57</v>
      </c>
      <c r="F12" s="16">
        <v>72000</v>
      </c>
      <c r="G12" s="16" t="s">
        <v>58</v>
      </c>
      <c r="H12" s="16" t="s">
        <v>59</v>
      </c>
      <c r="I12" s="26" t="s">
        <v>60</v>
      </c>
      <c r="J12" s="15"/>
    </row>
    <row r="13" spans="4:10" ht="90.75" customHeight="1" x14ac:dyDescent="0.2">
      <c r="D13" s="16" t="s">
        <v>22</v>
      </c>
      <c r="E13" s="16" t="s">
        <v>61</v>
      </c>
      <c r="F13" s="16">
        <v>0</v>
      </c>
      <c r="G13" s="16" t="s">
        <v>62</v>
      </c>
      <c r="H13" s="16" t="s">
        <v>63</v>
      </c>
      <c r="I13" s="19" t="s">
        <v>36</v>
      </c>
      <c r="J13" s="15"/>
    </row>
    <row r="14" spans="4:10" ht="90.75" customHeight="1" x14ac:dyDescent="0.2">
      <c r="D14" s="16" t="s">
        <v>24</v>
      </c>
      <c r="E14" s="16" t="s">
        <v>41</v>
      </c>
      <c r="F14" s="16" t="s">
        <v>64</v>
      </c>
      <c r="G14" s="16" t="s">
        <v>43</v>
      </c>
      <c r="H14" s="16" t="s">
        <v>44</v>
      </c>
      <c r="I14" s="19" t="s">
        <v>36</v>
      </c>
      <c r="J14" s="15"/>
    </row>
    <row r="15" spans="4:10" ht="90.75" customHeight="1" x14ac:dyDescent="0.2">
      <c r="D15" s="16" t="s">
        <v>65</v>
      </c>
      <c r="E15" s="16" t="s">
        <v>68</v>
      </c>
      <c r="F15" s="16" t="s">
        <v>66</v>
      </c>
      <c r="G15" s="16" t="s">
        <v>798</v>
      </c>
      <c r="H15" s="16" t="s">
        <v>67</v>
      </c>
      <c r="I15" s="26" t="s">
        <v>60</v>
      </c>
      <c r="J15" s="15"/>
    </row>
    <row r="16" spans="4:10" ht="54" hidden="1" customHeight="1" x14ac:dyDescent="0.2">
      <c r="D16" s="16"/>
      <c r="E16" s="24"/>
      <c r="F16" s="16"/>
      <c r="G16" s="16"/>
      <c r="H16" s="16"/>
      <c r="I16" s="19"/>
      <c r="J16" s="15"/>
    </row>
    <row r="17" spans="4:10" x14ac:dyDescent="0.2">
      <c r="D17" s="14"/>
      <c r="E17" s="14"/>
      <c r="F17" s="14"/>
      <c r="G17" s="14"/>
      <c r="H17" s="14"/>
      <c r="I17" s="15"/>
      <c r="J17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2080-B40B-4B14-BD21-D49B4702A67A}">
  <dimension ref="A1:S409"/>
  <sheetViews>
    <sheetView topLeftCell="F61" workbookViewId="0">
      <selection activeCell="I67" sqref="I67"/>
    </sheetView>
  </sheetViews>
  <sheetFormatPr defaultColWidth="21.7890625" defaultRowHeight="15.75" customHeight="1" x14ac:dyDescent="0.2"/>
  <cols>
    <col min="1" max="2" width="23" style="2" customWidth="1"/>
    <col min="3" max="3" width="23" style="1" hidden="1" customWidth="1"/>
    <col min="4" max="4" width="23" style="1" customWidth="1"/>
    <col min="5" max="5" width="23" style="2" customWidth="1"/>
    <col min="6" max="6" width="23" style="3" customWidth="1"/>
    <col min="7" max="7" width="23" style="2" customWidth="1"/>
    <col min="8" max="8" width="23" style="7" hidden="1" customWidth="1"/>
    <col min="9" max="9" width="23" style="7" customWidth="1"/>
    <col min="10" max="10" width="23" style="8" customWidth="1"/>
    <col min="11" max="11" width="23" style="9" customWidth="1"/>
    <col min="12" max="16" width="23" style="2" customWidth="1"/>
    <col min="17" max="17" width="23" style="6" customWidth="1"/>
    <col min="18" max="18" width="23" style="2" customWidth="1"/>
    <col min="19" max="19" width="26.36328125" style="6" customWidth="1"/>
  </cols>
  <sheetData>
    <row r="1" spans="1:18" ht="15" x14ac:dyDescent="0.2">
      <c r="A1" s="2" t="s">
        <v>3</v>
      </c>
      <c r="B1" s="7" t="s">
        <v>6</v>
      </c>
      <c r="C1" s="1" t="s">
        <v>7</v>
      </c>
      <c r="D1" s="1" t="s">
        <v>69</v>
      </c>
      <c r="E1" s="2" t="s">
        <v>10</v>
      </c>
      <c r="F1" s="3" t="s">
        <v>70</v>
      </c>
      <c r="G1" s="2" t="s">
        <v>15</v>
      </c>
      <c r="H1" s="7" t="s">
        <v>71</v>
      </c>
      <c r="I1" s="7" t="s">
        <v>18</v>
      </c>
      <c r="J1" s="8" t="s">
        <v>72</v>
      </c>
      <c r="K1" s="9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6" t="s">
        <v>79</v>
      </c>
      <c r="R1" s="2" t="s">
        <v>65</v>
      </c>
    </row>
    <row r="2" spans="1:18" ht="15.75" customHeight="1" x14ac:dyDescent="0.2">
      <c r="A2" s="2" t="s">
        <v>80</v>
      </c>
      <c r="B2" s="7" t="s">
        <v>81</v>
      </c>
      <c r="C2" s="1" t="s">
        <v>82</v>
      </c>
      <c r="D2" s="1" t="str">
        <f>TEXT(C2,"000\.000\.000\-00")</f>
        <v>000.000.058-00</v>
      </c>
      <c r="E2" s="2">
        <v>62</v>
      </c>
      <c r="F2" s="3" t="s">
        <v>83</v>
      </c>
      <c r="G2" s="2" t="s">
        <v>84</v>
      </c>
      <c r="H2" s="7" t="s">
        <v>85</v>
      </c>
      <c r="I2" s="7" t="str">
        <f>PROPER(Tabela1[[#This Row],[regiao]])</f>
        <v>Campina</v>
      </c>
      <c r="J2" s="8">
        <v>1900</v>
      </c>
      <c r="K2" s="9">
        <v>3500</v>
      </c>
      <c r="L2" s="2" t="s">
        <v>86</v>
      </c>
      <c r="M2" s="2">
        <v>19</v>
      </c>
      <c r="N2" s="2" t="str" cm="1">
        <f t="array" ref="N2">_xlfn.IFS(Tabela1[[#This Row],[qtde_]]="N/A", "N/A",Tabela1[[#This Row],[qtde_]]&lt;11,"BAIXO",Tabela1[[#This Row],[qtde_]]&lt;26,"MÉDIO",Tabela1[[#This Row],[qtde_]]&gt;=26,"ALTO")</f>
        <v>MÉDIO</v>
      </c>
      <c r="O2" s="12" t="str">
        <f>IF(AND(Tabela1[[#This Row],[nivel_risco]]="ALTO",Tabela1[[#This Row],[flag_inadimplente]] = "Sim"),"negada","aprovada")</f>
        <v>aprovada</v>
      </c>
      <c r="P2" s="12" t="str">
        <f>IF(AND(Tabela1[[#This Row],[credito_tomado]]&gt;50000,Tabela1[[#This Row],[flag_inadimplente]]="Sim"),"negada","aprovada")</f>
        <v>aprovada</v>
      </c>
      <c r="Q2" s="6">
        <v>62000</v>
      </c>
      <c r="R2" s="12" cm="1">
        <f t="array" ref="R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4960</v>
      </c>
    </row>
    <row r="3" spans="1:18" ht="15.75" customHeight="1" x14ac:dyDescent="0.2">
      <c r="A3" s="2" t="s">
        <v>80</v>
      </c>
      <c r="B3" s="7" t="s">
        <v>87</v>
      </c>
      <c r="C3" s="1" t="s">
        <v>88</v>
      </c>
      <c r="D3" s="1" t="str">
        <f>TEXT(C3,"000\.000\.000\-00")</f>
        <v>000.000.215-00</v>
      </c>
      <c r="E3" s="2">
        <v>28</v>
      </c>
      <c r="F3" s="3">
        <v>35887</v>
      </c>
      <c r="G3" s="2" t="s">
        <v>89</v>
      </c>
      <c r="H3" s="7" t="s">
        <v>90</v>
      </c>
      <c r="I3" s="7" t="str">
        <f>PROPER(Tabela1[[#This Row],[regiao]])</f>
        <v>Terras Da Coroa</v>
      </c>
      <c r="J3" s="8">
        <v>2000</v>
      </c>
      <c r="K3" s="9">
        <v>51000</v>
      </c>
      <c r="L3" s="2" t="s">
        <v>86</v>
      </c>
      <c r="M3" s="2">
        <v>12</v>
      </c>
      <c r="N3" s="2" t="str" cm="1">
        <f t="array" ref="N3">_xlfn.IFS(Tabela1[[#This Row],[qtde_]]="N/A", "N/A",Tabela1[[#This Row],[qtde_]]&lt;11,"BAIXO",Tabela1[[#This Row],[qtde_]]&lt;26,"MÉDIO",Tabela1[[#This Row],[qtde_]]&gt;=26,"ALTO")</f>
        <v>MÉDIO</v>
      </c>
      <c r="O3" s="12" t="str">
        <f>IF(AND(Tabela1[[#This Row],[nivel_risco]]="ALTO",Tabela1[[#This Row],[flag_inadimplente]] = "Sim"),"negada","aprovada")</f>
        <v>aprovada</v>
      </c>
      <c r="P3" s="12" t="str">
        <f>IF(AND(Tabela1[[#This Row],[credito_tomado]]&gt;50000,Tabela1[[#This Row],[flag_inadimplente]]="Sim"),"negada","aprovada")</f>
        <v>aprovada</v>
      </c>
      <c r="Q3" s="6">
        <v>72500</v>
      </c>
      <c r="R3" s="12" cm="1">
        <f t="array" ref="R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5800</v>
      </c>
    </row>
    <row r="4" spans="1:18" ht="15.75" customHeight="1" x14ac:dyDescent="0.2">
      <c r="A4" s="2" t="s">
        <v>80</v>
      </c>
      <c r="B4" s="7" t="s">
        <v>91</v>
      </c>
      <c r="C4" s="1">
        <v>27800</v>
      </c>
      <c r="D4" s="1" t="str">
        <f>TEXT(C4,"000\.000\.000\-00")</f>
        <v>000.000.278-00</v>
      </c>
      <c r="E4" s="2">
        <v>38</v>
      </c>
      <c r="F4" s="3">
        <v>32152</v>
      </c>
      <c r="G4" s="2" t="s">
        <v>92</v>
      </c>
      <c r="H4" s="7" t="s">
        <v>85</v>
      </c>
      <c r="I4" s="7" t="str">
        <f>PROPER(Tabela1[[#This Row],[regiao]])</f>
        <v>Campina</v>
      </c>
      <c r="J4" s="8">
        <v>2000</v>
      </c>
      <c r="K4" s="9">
        <v>60000</v>
      </c>
      <c r="L4" s="2" t="s">
        <v>86</v>
      </c>
      <c r="M4" s="2">
        <v>18</v>
      </c>
      <c r="N4" s="2" t="str" cm="1">
        <f t="array" ref="N4">_xlfn.IFS(Tabela1[[#This Row],[qtde_]]="N/A", "N/A",Tabela1[[#This Row],[qtde_]]&lt;11,"BAIXO",Tabela1[[#This Row],[qtde_]]&lt;26,"MÉDIO",Tabela1[[#This Row],[qtde_]]&gt;=26,"ALTO")</f>
        <v>MÉDIO</v>
      </c>
      <c r="O4" s="12" t="str">
        <f>IF(AND(Tabela1[[#This Row],[nivel_risco]]="ALTO",Tabela1[[#This Row],[flag_inadimplente]] = "Sim"),"negada","aprovada")</f>
        <v>aprovada</v>
      </c>
      <c r="P4" s="12" t="str">
        <f>IF(AND(Tabela1[[#This Row],[credito_tomado]]&gt;50000,Tabela1[[#This Row],[flag_inadimplente]]="Sim"),"negada","aprovada")</f>
        <v>aprovada</v>
      </c>
      <c r="Q4" s="6">
        <v>54000</v>
      </c>
      <c r="R4" s="12" cm="1">
        <f t="array" ref="R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4320</v>
      </c>
    </row>
    <row r="5" spans="1:18" ht="15.75" customHeight="1" x14ac:dyDescent="0.2">
      <c r="A5" s="2" t="s">
        <v>80</v>
      </c>
      <c r="B5" s="7" t="s">
        <v>93</v>
      </c>
      <c r="C5" s="1">
        <v>9800</v>
      </c>
      <c r="D5" s="1" t="str">
        <f>TEXT(C5,"000\.000\.000\-00")</f>
        <v>000.000.098-00</v>
      </c>
      <c r="E5" s="2">
        <v>35</v>
      </c>
      <c r="F5" s="3">
        <v>33440</v>
      </c>
      <c r="G5" s="2" t="s">
        <v>94</v>
      </c>
      <c r="H5" s="7" t="s">
        <v>95</v>
      </c>
      <c r="I5" s="7" t="str">
        <f>PROPER(Tabela1[[#This Row],[regiao]])</f>
        <v>Ilhas De Ferro</v>
      </c>
      <c r="J5" s="8">
        <v>2000</v>
      </c>
      <c r="K5" s="9">
        <v>5500</v>
      </c>
      <c r="L5" s="2" t="s">
        <v>86</v>
      </c>
      <c r="M5" s="2">
        <v>34</v>
      </c>
      <c r="N5" s="2" t="str" cm="1">
        <f t="array" ref="N5">_xlfn.IFS(Tabela1[[#This Row],[qtde_]]="N/A", "N/A",Tabela1[[#This Row],[qtde_]]&lt;11,"BAIXO",Tabela1[[#This Row],[qtde_]]&lt;26,"MÉDIO",Tabela1[[#This Row],[qtde_]]&gt;=26,"ALTO")</f>
        <v>ALTO</v>
      </c>
      <c r="O5" s="12" t="str">
        <f>IF(AND(Tabela1[[#This Row],[nivel_risco]]="ALTO",Tabela1[[#This Row],[flag_inadimplente]] = "Sim"),"negada","aprovada")</f>
        <v>aprovada</v>
      </c>
      <c r="P5" s="12" t="str">
        <f>IF(AND(Tabela1[[#This Row],[credito_tomado]]&gt;50000,Tabela1[[#This Row],[flag_inadimplente]]="Sim"),"negada","aprovada")</f>
        <v>aprovada</v>
      </c>
      <c r="Q5" s="6">
        <v>71000</v>
      </c>
      <c r="R5" s="12" cm="1">
        <f t="array" ref="R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5680</v>
      </c>
    </row>
    <row r="6" spans="1:18" ht="15.75" customHeight="1" x14ac:dyDescent="0.2">
      <c r="A6" s="2" t="s">
        <v>96</v>
      </c>
      <c r="B6" s="7" t="s">
        <v>97</v>
      </c>
      <c r="C6" s="1" t="s">
        <v>98</v>
      </c>
      <c r="D6" s="1" t="str">
        <f>TEXT(C6,"000\.000\.000\-00")</f>
        <v>000.000.250-00</v>
      </c>
      <c r="E6" s="2" t="s">
        <v>83</v>
      </c>
      <c r="F6" s="3">
        <v>38001</v>
      </c>
      <c r="G6" s="2" t="s">
        <v>99</v>
      </c>
      <c r="H6" s="7" t="s">
        <v>100</v>
      </c>
      <c r="I6" s="7" t="str">
        <f>PROPER(Tabela1[[#This Row],[regiao]])</f>
        <v>Norte</v>
      </c>
      <c r="J6" s="8">
        <v>2100</v>
      </c>
      <c r="K6" s="9">
        <v>79500</v>
      </c>
      <c r="L6" s="2" t="s">
        <v>101</v>
      </c>
      <c r="M6" s="2">
        <v>29</v>
      </c>
      <c r="N6" s="2" t="str" cm="1">
        <f t="array" ref="N6">_xlfn.IFS(Tabela1[[#This Row],[qtde_]]="N/A", "N/A",Tabela1[[#This Row],[qtde_]]&lt;11,"BAIXO",Tabela1[[#This Row],[qtde_]]&lt;26,"MÉDIO",Tabela1[[#This Row],[qtde_]]&gt;=26,"ALTO")</f>
        <v>ALTO</v>
      </c>
      <c r="O6" s="12" t="str">
        <f>IF(AND(Tabela1[[#This Row],[nivel_risco]]="ALTO",Tabela1[[#This Row],[flag_inadimplente]] = "Sim"),"negada","aprovada")</f>
        <v>negada</v>
      </c>
      <c r="P6" s="12" t="str">
        <f>IF(AND(Tabela1[[#This Row],[credito_tomado]]&gt;50000,Tabela1[[#This Row],[flag_inadimplente]]="Sim"),"negada","aprovada")</f>
        <v>negada</v>
      </c>
      <c r="Q6" s="6">
        <v>64000</v>
      </c>
      <c r="R6" s="12" t="str" cm="1">
        <f t="array" ref="R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7" spans="1:18" ht="15.75" customHeight="1" x14ac:dyDescent="0.2">
      <c r="A7" s="2" t="s">
        <v>80</v>
      </c>
      <c r="B7" s="7" t="s">
        <v>102</v>
      </c>
      <c r="C7" s="1" t="s">
        <v>103</v>
      </c>
      <c r="D7" s="1" t="str">
        <f>TEXT(C7,"000\.000\.000\-00")</f>
        <v>000.000.157-00</v>
      </c>
      <c r="E7" s="2">
        <v>22</v>
      </c>
      <c r="F7" s="3">
        <v>37904</v>
      </c>
      <c r="G7" s="2" t="s">
        <v>104</v>
      </c>
      <c r="H7" s="7" t="s">
        <v>105</v>
      </c>
      <c r="I7" s="7" t="str">
        <f>PROPER(Tabela1[[#This Row],[regiao]])</f>
        <v>Terras Da Tempestade</v>
      </c>
      <c r="J7" s="8">
        <v>2300</v>
      </c>
      <c r="K7" s="9">
        <v>0</v>
      </c>
      <c r="L7" s="2" t="s">
        <v>101</v>
      </c>
      <c r="M7" s="2">
        <v>29</v>
      </c>
      <c r="N7" s="2" t="str" cm="1">
        <f t="array" ref="N7">_xlfn.IFS(Tabela1[[#This Row],[qtde_]]="N/A", "N/A",Tabela1[[#This Row],[qtde_]]&lt;11,"BAIXO",Tabela1[[#This Row],[qtde_]]&lt;26,"MÉDIO",Tabela1[[#This Row],[qtde_]]&gt;=26,"ALTO")</f>
        <v>ALTO</v>
      </c>
      <c r="O7" s="12" t="str">
        <f>IF(AND(Tabela1[[#This Row],[nivel_risco]]="ALTO",Tabela1[[#This Row],[flag_inadimplente]] = "Sim"),"negada","aprovada")</f>
        <v>negada</v>
      </c>
      <c r="P7" s="12" t="str">
        <f>IF(AND(Tabela1[[#This Row],[credito_tomado]]&gt;50000,Tabela1[[#This Row],[flag_inadimplente]]="Sim"),"negada","aprovada")</f>
        <v>aprovada</v>
      </c>
      <c r="Q7" s="6">
        <v>51500</v>
      </c>
      <c r="R7" s="12" t="e" cm="1">
        <f t="array" ref="R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8" spans="1:18" ht="15.75" customHeight="1" x14ac:dyDescent="0.2">
      <c r="A8" s="2" t="s">
        <v>80</v>
      </c>
      <c r="B8" s="7" t="s">
        <v>106</v>
      </c>
      <c r="C8" s="1" t="s">
        <v>107</v>
      </c>
      <c r="D8" s="1" t="str">
        <f>TEXT(C8,"000\.000\.000\-00")</f>
        <v>000.000.148-00</v>
      </c>
      <c r="E8" s="2">
        <v>48</v>
      </c>
      <c r="F8" s="3">
        <v>28673</v>
      </c>
      <c r="G8" s="2" t="s">
        <v>108</v>
      </c>
      <c r="H8" s="7" t="s">
        <v>109</v>
      </c>
      <c r="I8" s="7" t="str">
        <f>PROPER(Tabela1[[#This Row],[regiao]])</f>
        <v>Gargalo</v>
      </c>
      <c r="J8" s="8">
        <v>2300</v>
      </c>
      <c r="K8" s="9">
        <v>26500</v>
      </c>
      <c r="L8" s="2" t="s">
        <v>86</v>
      </c>
      <c r="M8" s="2">
        <v>44</v>
      </c>
      <c r="N8" s="2" t="str" cm="1">
        <f t="array" ref="N8">_xlfn.IFS(Tabela1[[#This Row],[qtde_]]="N/A", "N/A",Tabela1[[#This Row],[qtde_]]&lt;11,"BAIXO",Tabela1[[#This Row],[qtde_]]&lt;26,"MÉDIO",Tabela1[[#This Row],[qtde_]]&gt;=26,"ALTO")</f>
        <v>ALTO</v>
      </c>
      <c r="O8" s="12" t="str">
        <f>IF(AND(Tabela1[[#This Row],[nivel_risco]]="ALTO",Tabela1[[#This Row],[flag_inadimplente]] = "Sim"),"negada","aprovada")</f>
        <v>aprovada</v>
      </c>
      <c r="P8" s="12" t="str">
        <f>IF(AND(Tabela1[[#This Row],[credito_tomado]]&gt;50000,Tabela1[[#This Row],[flag_inadimplente]]="Sim"),"negada","aprovada")</f>
        <v>aprovada</v>
      </c>
      <c r="Q8" s="6">
        <v>81000</v>
      </c>
      <c r="R8" s="12" cm="1">
        <f t="array" ref="R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6480</v>
      </c>
    </row>
    <row r="9" spans="1:18" ht="15.75" customHeight="1" x14ac:dyDescent="0.2">
      <c r="A9" s="2" t="s">
        <v>96</v>
      </c>
      <c r="B9" s="7" t="s">
        <v>110</v>
      </c>
      <c r="C9" s="1" t="s">
        <v>111</v>
      </c>
      <c r="D9" s="1" t="str">
        <f>TEXT(C9,"000\.000\.000\-00")</f>
        <v>000.000.258-00</v>
      </c>
      <c r="E9" s="2">
        <v>33</v>
      </c>
      <c r="F9" s="3">
        <v>34154</v>
      </c>
      <c r="G9" s="2" t="s">
        <v>112</v>
      </c>
      <c r="H9" s="7" t="s">
        <v>113</v>
      </c>
      <c r="I9" s="7" t="str">
        <f>PROPER(Tabela1[[#This Row],[regiao]])</f>
        <v>Norte</v>
      </c>
      <c r="J9" s="8">
        <v>2400</v>
      </c>
      <c r="K9" s="9">
        <v>78000</v>
      </c>
      <c r="L9" s="2" t="s">
        <v>86</v>
      </c>
      <c r="M9" s="2">
        <v>6</v>
      </c>
      <c r="N9" s="2" t="str" cm="1">
        <f t="array" ref="N9">_xlfn.IFS(Tabela1[[#This Row],[qtde_]]="N/A", "N/A",Tabela1[[#This Row],[qtde_]]&lt;11,"BAIXO",Tabela1[[#This Row],[qtde_]]&lt;26,"MÉDIO",Tabela1[[#This Row],[qtde_]]&gt;=26,"ALTO")</f>
        <v>BAIXO</v>
      </c>
      <c r="O9" s="12" t="str">
        <f>IF(AND(Tabela1[[#This Row],[nivel_risco]]="ALTO",Tabela1[[#This Row],[flag_inadimplente]] = "Sim"),"negada","aprovada")</f>
        <v>aprovada</v>
      </c>
      <c r="P9" s="12" t="str">
        <f>IF(AND(Tabela1[[#This Row],[credito_tomado]]&gt;50000,Tabela1[[#This Row],[flag_inadimplente]]="Sim"),"negada","aprovada")</f>
        <v>aprovada</v>
      </c>
      <c r="Q9" s="6">
        <v>28000</v>
      </c>
      <c r="R9" s="12" t="e" cm="1">
        <f t="array" ref="R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0" spans="1:18" ht="15.75" customHeight="1" x14ac:dyDescent="0.2">
      <c r="A10" s="2" t="s">
        <v>80</v>
      </c>
      <c r="B10" s="7" t="s">
        <v>114</v>
      </c>
      <c r="C10" s="1">
        <v>15100</v>
      </c>
      <c r="D10" s="1" t="str">
        <f>TEXT(C10,"000\.000\.000\-00")</f>
        <v>000.000.151-00</v>
      </c>
      <c r="E10" s="2">
        <v>25</v>
      </c>
      <c r="F10" s="3">
        <v>37125</v>
      </c>
      <c r="G10" s="2" t="s">
        <v>115</v>
      </c>
      <c r="H10" s="7" t="s">
        <v>115</v>
      </c>
      <c r="I10" s="7" t="str">
        <f>PROPER(Tabela1[[#This Row],[regiao]])</f>
        <v>Dorne</v>
      </c>
      <c r="J10" s="8">
        <v>2500</v>
      </c>
      <c r="K10" s="9">
        <v>72500</v>
      </c>
      <c r="L10" s="2" t="s">
        <v>86</v>
      </c>
      <c r="M10" s="2">
        <v>32</v>
      </c>
      <c r="N10" s="2" t="str" cm="1">
        <f t="array" ref="N10">_xlfn.IFS(Tabela1[[#This Row],[qtde_]]="N/A", "N/A",Tabela1[[#This Row],[qtde_]]&lt;11,"BAIXO",Tabela1[[#This Row],[qtde_]]&lt;26,"MÉDIO",Tabela1[[#This Row],[qtde_]]&gt;=26,"ALTO")</f>
        <v>ALTO</v>
      </c>
      <c r="O10" s="12" t="str">
        <f>IF(AND(Tabela1[[#This Row],[nivel_risco]]="ALTO",Tabela1[[#This Row],[flag_inadimplente]] = "Sim"),"negada","aprovada")</f>
        <v>aprovada</v>
      </c>
      <c r="P10" s="12" t="str">
        <f>IF(AND(Tabela1[[#This Row],[credito_tomado]]&gt;50000,Tabela1[[#This Row],[flag_inadimplente]]="Sim"),"negada","aprovada")</f>
        <v>aprovada</v>
      </c>
      <c r="Q10" s="6">
        <v>97000</v>
      </c>
      <c r="R10" s="12" cm="1">
        <f t="array" ref="R1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7760</v>
      </c>
    </row>
    <row r="11" spans="1:18" ht="15.75" customHeight="1" x14ac:dyDescent="0.2">
      <c r="A11" s="2" t="s">
        <v>96</v>
      </c>
      <c r="B11" s="7" t="s">
        <v>116</v>
      </c>
      <c r="C11" s="1" t="s">
        <v>117</v>
      </c>
      <c r="D11" s="1" t="str">
        <f>TEXT(C11,"000\.000\.000\-00")</f>
        <v>000.000.311-00</v>
      </c>
      <c r="E11" s="2">
        <v>70</v>
      </c>
      <c r="F11" s="3">
        <v>20502</v>
      </c>
      <c r="G11" s="2" t="s">
        <v>118</v>
      </c>
      <c r="H11" s="7" t="s">
        <v>119</v>
      </c>
      <c r="I11" s="7" t="str">
        <f>PROPER(Tabela1[[#This Row],[regiao]])</f>
        <v>Oeste</v>
      </c>
      <c r="J11" s="8">
        <v>2500</v>
      </c>
      <c r="K11" s="9">
        <v>0</v>
      </c>
      <c r="L11" s="2" t="s">
        <v>86</v>
      </c>
      <c r="M11" s="2">
        <v>38</v>
      </c>
      <c r="N11" s="2" t="str" cm="1">
        <f t="array" ref="N11">_xlfn.IFS(Tabela1[[#This Row],[qtde_]]="N/A", "N/A",Tabela1[[#This Row],[qtde_]]&lt;11,"BAIXO",Tabela1[[#This Row],[qtde_]]&lt;26,"MÉDIO",Tabela1[[#This Row],[qtde_]]&gt;=26,"ALTO")</f>
        <v>ALTO</v>
      </c>
      <c r="O11" s="12" t="str">
        <f>IF(AND(Tabela1[[#This Row],[nivel_risco]]="ALTO",Tabela1[[#This Row],[flag_inadimplente]] = "Sim"),"negada","aprovada")</f>
        <v>aprovada</v>
      </c>
      <c r="P11" s="12" t="str">
        <f>IF(AND(Tabela1[[#This Row],[credito_tomado]]&gt;50000,Tabela1[[#This Row],[flag_inadimplente]]="Sim"),"negada","aprovada")</f>
        <v>aprovada</v>
      </c>
      <c r="Q11" s="6">
        <v>44500</v>
      </c>
      <c r="R11" s="12" t="e" cm="1">
        <f t="array" ref="R1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2" spans="1:18" ht="15.75" customHeight="1" x14ac:dyDescent="0.2">
      <c r="A12" s="2" t="s">
        <v>80</v>
      </c>
      <c r="B12" s="7" t="s">
        <v>120</v>
      </c>
      <c r="C12" s="1">
        <v>16500</v>
      </c>
      <c r="D12" s="1" t="str">
        <f>TEXT(C12,"000\.000\.000\-00")</f>
        <v>000.000.165-00</v>
      </c>
      <c r="E12" s="2">
        <v>37</v>
      </c>
      <c r="F12" s="3">
        <v>32513</v>
      </c>
      <c r="G12" s="2" t="s">
        <v>121</v>
      </c>
      <c r="H12" s="7" t="s">
        <v>122</v>
      </c>
      <c r="I12" s="7" t="str">
        <f>PROPER(Tabela1[[#This Row],[regiao]])</f>
        <v>Campina</v>
      </c>
      <c r="J12" s="8">
        <v>2600</v>
      </c>
      <c r="K12" s="9">
        <v>0</v>
      </c>
      <c r="L12" s="2" t="s">
        <v>86</v>
      </c>
      <c r="M12" s="2">
        <v>5</v>
      </c>
      <c r="N12" s="2" t="str" cm="1">
        <f t="array" ref="N12">_xlfn.IFS(Tabela1[[#This Row],[qtde_]]="N/A", "N/A",Tabela1[[#This Row],[qtde_]]&lt;11,"BAIXO",Tabela1[[#This Row],[qtde_]]&lt;26,"MÉDIO",Tabela1[[#This Row],[qtde_]]&gt;=26,"ALTO")</f>
        <v>BAIXO</v>
      </c>
      <c r="O12" s="12" t="str">
        <f>IF(AND(Tabela1[[#This Row],[nivel_risco]]="ALTO",Tabela1[[#This Row],[flag_inadimplente]] = "Sim"),"negada","aprovada")</f>
        <v>aprovada</v>
      </c>
      <c r="P12" s="12" t="str">
        <f>IF(AND(Tabela1[[#This Row],[credito_tomado]]&gt;50000,Tabela1[[#This Row],[flag_inadimplente]]="Sim"),"negada","aprovada")</f>
        <v>aprovada</v>
      </c>
      <c r="Q12" s="6">
        <v>16500</v>
      </c>
      <c r="R12" s="12" cm="1">
        <f t="array" ref="R1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1320</v>
      </c>
    </row>
    <row r="13" spans="1:18" ht="15.75" customHeight="1" x14ac:dyDescent="0.2">
      <c r="A13" s="2" t="s">
        <v>80</v>
      </c>
      <c r="B13" s="7" t="s">
        <v>123</v>
      </c>
      <c r="C13" s="1">
        <v>37700</v>
      </c>
      <c r="D13" s="1" t="str">
        <f>TEXT(C13,"000\.000\.000\-00")</f>
        <v>000.000.377-00</v>
      </c>
      <c r="E13" s="2">
        <v>23</v>
      </c>
      <c r="F13" s="3">
        <v>37566</v>
      </c>
      <c r="G13" s="2" t="s">
        <v>124</v>
      </c>
      <c r="H13" s="7" t="s">
        <v>125</v>
      </c>
      <c r="I13" s="7" t="str">
        <f>PROPER(Tabela1[[#This Row],[regiao]])</f>
        <v>Essos</v>
      </c>
      <c r="J13" s="8">
        <v>2600</v>
      </c>
      <c r="K13" s="9">
        <v>0</v>
      </c>
      <c r="L13" s="2" t="s">
        <v>101</v>
      </c>
      <c r="M13" s="2">
        <v>30</v>
      </c>
      <c r="N13" s="2" t="str" cm="1">
        <f t="array" ref="N13">_xlfn.IFS(Tabela1[[#This Row],[qtde_]]="N/A", "N/A",Tabela1[[#This Row],[qtde_]]&lt;11,"BAIXO",Tabela1[[#This Row],[qtde_]]&lt;26,"MÉDIO",Tabela1[[#This Row],[qtde_]]&gt;=26,"ALTO")</f>
        <v>ALTO</v>
      </c>
      <c r="O13" s="12" t="str">
        <f>IF(AND(Tabela1[[#This Row],[nivel_risco]]="ALTO",Tabela1[[#This Row],[flag_inadimplente]] = "Sim"),"negada","aprovada")</f>
        <v>negada</v>
      </c>
      <c r="P13" s="12" t="str">
        <f>IF(AND(Tabela1[[#This Row],[credito_tomado]]&gt;50000,Tabela1[[#This Row],[flag_inadimplente]]="Sim"),"negada","aprovada")</f>
        <v>aprovada</v>
      </c>
      <c r="Q13" s="6">
        <v>11000</v>
      </c>
      <c r="R13" s="12" t="e" cm="1">
        <f t="array" ref="R1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4" spans="1:18" ht="15.75" customHeight="1" x14ac:dyDescent="0.2">
      <c r="A14" s="2" t="s">
        <v>80</v>
      </c>
      <c r="B14" s="7" t="s">
        <v>126</v>
      </c>
      <c r="C14" s="1" t="s">
        <v>127</v>
      </c>
      <c r="D14" s="1" t="str">
        <f>TEXT(C14,"000\.000\.000\-00")</f>
        <v>000.000.178-00</v>
      </c>
      <c r="E14" s="2">
        <v>30</v>
      </c>
      <c r="F14" s="3">
        <v>35109</v>
      </c>
      <c r="G14" s="2" t="s">
        <v>104</v>
      </c>
      <c r="H14" s="7" t="s">
        <v>128</v>
      </c>
      <c r="I14" s="7" t="str">
        <f>PROPER(Tabela1[[#This Row],[regiao]])</f>
        <v>Terras Da Tempestade</v>
      </c>
      <c r="J14" s="8">
        <v>2600</v>
      </c>
      <c r="K14" s="9">
        <v>62000</v>
      </c>
      <c r="L14" s="2" t="s">
        <v>86</v>
      </c>
      <c r="M14" s="2">
        <v>22</v>
      </c>
      <c r="N14" s="2" t="str" cm="1">
        <f t="array" ref="N14">_xlfn.IFS(Tabela1[[#This Row],[qtde_]]="N/A", "N/A",Tabela1[[#This Row],[qtde_]]&lt;11,"BAIXO",Tabela1[[#This Row],[qtde_]]&lt;26,"MÉDIO",Tabela1[[#This Row],[qtde_]]&gt;=26,"ALTO")</f>
        <v>MÉDIO</v>
      </c>
      <c r="O14" s="12" t="str">
        <f>IF(AND(Tabela1[[#This Row],[nivel_risco]]="ALTO",Tabela1[[#This Row],[flag_inadimplente]] = "Sim"),"negada","aprovada")</f>
        <v>aprovada</v>
      </c>
      <c r="P14" s="12" t="str">
        <f>IF(AND(Tabela1[[#This Row],[credito_tomado]]&gt;50000,Tabela1[[#This Row],[flag_inadimplente]]="Sim"),"negada","aprovada")</f>
        <v>aprovada</v>
      </c>
      <c r="Q14" s="6">
        <v>62000</v>
      </c>
      <c r="R14" s="12" cm="1">
        <f t="array" ref="R1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4960</v>
      </c>
    </row>
    <row r="15" spans="1:18" ht="15.75" customHeight="1" x14ac:dyDescent="0.2">
      <c r="A15" s="2" t="s">
        <v>80</v>
      </c>
      <c r="B15" s="7" t="s">
        <v>129</v>
      </c>
      <c r="C15" s="1">
        <v>2200</v>
      </c>
      <c r="D15" s="1" t="str">
        <f>TEXT(C15,"000\.000\.000\-00")</f>
        <v>000.000.022-00</v>
      </c>
      <c r="E15" s="2">
        <v>58</v>
      </c>
      <c r="F15" s="3">
        <v>24840</v>
      </c>
      <c r="G15" s="2" t="s">
        <v>108</v>
      </c>
      <c r="H15" s="7" t="s">
        <v>130</v>
      </c>
      <c r="I15" s="7" t="str">
        <f>PROPER(Tabela1[[#This Row],[regiao]])</f>
        <v>Gargalo</v>
      </c>
      <c r="J15" s="8">
        <v>2800</v>
      </c>
      <c r="K15" s="9">
        <v>35000</v>
      </c>
      <c r="L15" s="2" t="s">
        <v>86</v>
      </c>
      <c r="M15" s="2">
        <v>36</v>
      </c>
      <c r="N15" s="2" t="str" cm="1">
        <f t="array" ref="N15">_xlfn.IFS(Tabela1[[#This Row],[qtde_]]="N/A", "N/A",Tabela1[[#This Row],[qtde_]]&lt;11,"BAIXO",Tabela1[[#This Row],[qtde_]]&lt;26,"MÉDIO",Tabela1[[#This Row],[qtde_]]&gt;=26,"ALTO")</f>
        <v>ALTO</v>
      </c>
      <c r="O15" s="12" t="str">
        <f>IF(AND(Tabela1[[#This Row],[nivel_risco]]="ALTO",Tabela1[[#This Row],[flag_inadimplente]] = "Sim"),"negada","aprovada")</f>
        <v>aprovada</v>
      </c>
      <c r="P15" s="12" t="str">
        <f>IF(AND(Tabela1[[#This Row],[credito_tomado]]&gt;50000,Tabela1[[#This Row],[flag_inadimplente]]="Sim"),"negada","aprovada")</f>
        <v>aprovada</v>
      </c>
      <c r="Q15" s="6">
        <v>9000</v>
      </c>
      <c r="R15" s="12" cm="1">
        <f t="array" ref="R1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720</v>
      </c>
    </row>
    <row r="16" spans="1:18" ht="15.75" customHeight="1" x14ac:dyDescent="0.2">
      <c r="A16" s="2" t="s">
        <v>80</v>
      </c>
      <c r="B16" s="7" t="s">
        <v>131</v>
      </c>
      <c r="C16" s="1">
        <v>9900</v>
      </c>
      <c r="D16" s="1" t="str">
        <f>TEXT(C16,"000\.000\.000\-00")</f>
        <v>000.000.099-00</v>
      </c>
      <c r="E16" s="2">
        <v>64</v>
      </c>
      <c r="F16" s="3">
        <v>22828</v>
      </c>
      <c r="G16" s="2" t="s">
        <v>132</v>
      </c>
      <c r="H16" s="7" t="s">
        <v>133</v>
      </c>
      <c r="I16" s="7" t="str">
        <f>PROPER(Tabela1[[#This Row],[regiao]])</f>
        <v>Terras Fluviais</v>
      </c>
      <c r="J16" s="8">
        <v>2900</v>
      </c>
      <c r="K16" s="9">
        <v>76000</v>
      </c>
      <c r="L16" s="2" t="s">
        <v>86</v>
      </c>
      <c r="M16" s="2">
        <v>32</v>
      </c>
      <c r="N16" s="2" t="str" cm="1">
        <f t="array" ref="N16">_xlfn.IFS(Tabela1[[#This Row],[qtde_]]="N/A", "N/A",Tabela1[[#This Row],[qtde_]]&lt;11,"BAIXO",Tabela1[[#This Row],[qtde_]]&lt;26,"MÉDIO",Tabela1[[#This Row],[qtde_]]&gt;=26,"ALTO")</f>
        <v>ALTO</v>
      </c>
      <c r="O16" s="12" t="str">
        <f>IF(AND(Tabela1[[#This Row],[nivel_risco]]="ALTO",Tabela1[[#This Row],[flag_inadimplente]] = "Sim"),"negada","aprovada")</f>
        <v>aprovada</v>
      </c>
      <c r="P16" s="12" t="str">
        <f>IF(AND(Tabela1[[#This Row],[credito_tomado]]&gt;50000,Tabela1[[#This Row],[flag_inadimplente]]="Sim"),"negada","aprovada")</f>
        <v>aprovada</v>
      </c>
      <c r="Q16" s="6">
        <v>72500</v>
      </c>
      <c r="R16" s="12" cm="1">
        <f t="array" ref="R1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5800</v>
      </c>
    </row>
    <row r="17" spans="1:18" ht="15.75" customHeight="1" x14ac:dyDescent="0.2">
      <c r="A17" s="2" t="s">
        <v>96</v>
      </c>
      <c r="B17" s="7" t="s">
        <v>134</v>
      </c>
      <c r="C17" s="1" t="s">
        <v>135</v>
      </c>
      <c r="D17" s="1" t="str">
        <f>TEXT(C17,"000\.000\.000\-00")</f>
        <v>000.000.026-00</v>
      </c>
      <c r="E17" s="2">
        <v>67</v>
      </c>
      <c r="F17" s="3">
        <v>21512</v>
      </c>
      <c r="G17" s="2" t="s">
        <v>124</v>
      </c>
      <c r="H17" s="7" t="s">
        <v>125</v>
      </c>
      <c r="I17" s="7" t="str">
        <f>PROPER(Tabela1[[#This Row],[regiao]])</f>
        <v>Essos</v>
      </c>
      <c r="J17" s="8">
        <v>3200</v>
      </c>
      <c r="K17" s="9">
        <v>6500</v>
      </c>
      <c r="L17" s="2" t="s">
        <v>86</v>
      </c>
      <c r="M17" s="2">
        <v>20</v>
      </c>
      <c r="N17" s="2" t="str" cm="1">
        <f t="array" ref="N17">_xlfn.IFS(Tabela1[[#This Row],[qtde_]]="N/A", "N/A",Tabela1[[#This Row],[qtde_]]&lt;11,"BAIXO",Tabela1[[#This Row],[qtde_]]&lt;26,"MÉDIO",Tabela1[[#This Row],[qtde_]]&gt;=26,"ALTO")</f>
        <v>MÉDIO</v>
      </c>
      <c r="O17" s="12" t="str">
        <f>IF(AND(Tabela1[[#This Row],[nivel_risco]]="ALTO",Tabela1[[#This Row],[flag_inadimplente]] = "Sim"),"negada","aprovada")</f>
        <v>aprovada</v>
      </c>
      <c r="P17" s="12" t="str">
        <f>IF(AND(Tabela1[[#This Row],[credito_tomado]]&gt;50000,Tabela1[[#This Row],[flag_inadimplente]]="Sim"),"negada","aprovada")</f>
        <v>aprovada</v>
      </c>
      <c r="Q17" s="6">
        <v>52500</v>
      </c>
      <c r="R17" s="12" t="e" cm="1">
        <f t="array" ref="R1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8" spans="1:18" ht="15.75" customHeight="1" x14ac:dyDescent="0.2">
      <c r="A18" s="2" t="s">
        <v>80</v>
      </c>
      <c r="B18" s="7" t="s">
        <v>136</v>
      </c>
      <c r="C18" s="1" t="s">
        <v>137</v>
      </c>
      <c r="D18" s="1" t="str">
        <f>TEXT(C18,"000\.000\.000\-00")</f>
        <v>000.000.234-00</v>
      </c>
      <c r="E18" s="2">
        <v>46</v>
      </c>
      <c r="F18" s="3">
        <v>29197</v>
      </c>
      <c r="G18" s="2" t="s">
        <v>138</v>
      </c>
      <c r="H18" s="7" t="s">
        <v>139</v>
      </c>
      <c r="I18" s="7" t="str">
        <f>PROPER(Tabela1[[#This Row],[regiao]])</f>
        <v>Essos</v>
      </c>
      <c r="J18" s="8">
        <v>3200</v>
      </c>
      <c r="K18" s="9">
        <v>0</v>
      </c>
      <c r="L18" s="2" t="s">
        <v>86</v>
      </c>
      <c r="M18" s="2">
        <v>16</v>
      </c>
      <c r="N18" s="2" t="str" cm="1">
        <f t="array" ref="N18">_xlfn.IFS(Tabela1[[#This Row],[qtde_]]="N/A", "N/A",Tabela1[[#This Row],[qtde_]]&lt;11,"BAIXO",Tabela1[[#This Row],[qtde_]]&lt;26,"MÉDIO",Tabela1[[#This Row],[qtde_]]&gt;=26,"ALTO")</f>
        <v>MÉDIO</v>
      </c>
      <c r="O18" s="12" t="str">
        <f>IF(AND(Tabela1[[#This Row],[nivel_risco]]="ALTO",Tabela1[[#This Row],[flag_inadimplente]] = "Sim"),"negada","aprovada")</f>
        <v>aprovada</v>
      </c>
      <c r="P18" s="12" t="str">
        <f>IF(AND(Tabela1[[#This Row],[credito_tomado]]&gt;50000,Tabela1[[#This Row],[flag_inadimplente]]="Sim"),"negada","aprovada")</f>
        <v>aprovada</v>
      </c>
      <c r="Q18" s="6">
        <v>61500</v>
      </c>
      <c r="R18" s="12" cm="1">
        <f t="array" ref="R1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4920</v>
      </c>
    </row>
    <row r="19" spans="1:18" ht="15.75" customHeight="1" x14ac:dyDescent="0.2">
      <c r="A19" s="2" t="s">
        <v>80</v>
      </c>
      <c r="B19" s="7" t="s">
        <v>140</v>
      </c>
      <c r="C19" s="1">
        <v>26400</v>
      </c>
      <c r="D19" s="1" t="str">
        <f>TEXT(C19,"000\.000\.000\-00")</f>
        <v>000.000.264-00</v>
      </c>
      <c r="E19" s="2">
        <v>57</v>
      </c>
      <c r="F19" s="3">
        <v>25238</v>
      </c>
      <c r="G19" s="2" t="s">
        <v>132</v>
      </c>
      <c r="H19" s="7" t="s">
        <v>141</v>
      </c>
      <c r="I19" s="7" t="str">
        <f>PROPER(Tabela1[[#This Row],[regiao]])</f>
        <v>Terras Fluviais</v>
      </c>
      <c r="J19" s="8">
        <v>3200</v>
      </c>
      <c r="K19" s="9" t="s">
        <v>83</v>
      </c>
      <c r="L19" s="2" t="s">
        <v>86</v>
      </c>
      <c r="M19" s="2">
        <v>18</v>
      </c>
      <c r="N19" s="2" t="str" cm="1">
        <f t="array" ref="N19">_xlfn.IFS(Tabela1[[#This Row],[qtde_]]="N/A", "N/A",Tabela1[[#This Row],[qtde_]]&lt;11,"BAIXO",Tabela1[[#This Row],[qtde_]]&lt;26,"MÉDIO",Tabela1[[#This Row],[qtde_]]&gt;=26,"ALTO")</f>
        <v>MÉDIO</v>
      </c>
      <c r="O19" s="12" t="str">
        <f>IF(AND(Tabela1[[#This Row],[nivel_risco]]="ALTO",Tabela1[[#This Row],[flag_inadimplente]] = "Sim"),"negada","aprovada")</f>
        <v>aprovada</v>
      </c>
      <c r="P19" s="12" t="str">
        <f>IF(AND(Tabela1[[#This Row],[credito_tomado]]&gt;50000,Tabela1[[#This Row],[flag_inadimplente]]="Sim"),"negada","aprovada")</f>
        <v>aprovada</v>
      </c>
      <c r="Q19" s="6">
        <v>64000</v>
      </c>
      <c r="R19" s="12" t="str" cm="1">
        <f t="array" ref="R1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0" spans="1:18" ht="15.75" customHeight="1" x14ac:dyDescent="0.2">
      <c r="A20" s="2" t="s">
        <v>96</v>
      </c>
      <c r="B20" s="7" t="s">
        <v>142</v>
      </c>
      <c r="C20" s="1" t="s">
        <v>143</v>
      </c>
      <c r="D20" s="1" t="str">
        <f>TEXT(C20,"000\.000\.000\-00")</f>
        <v>000.000.079-00</v>
      </c>
      <c r="E20" s="2">
        <v>65</v>
      </c>
      <c r="F20" s="3">
        <v>22275</v>
      </c>
      <c r="G20" s="2" t="s">
        <v>144</v>
      </c>
      <c r="H20" s="7" t="s">
        <v>145</v>
      </c>
      <c r="I20" s="7" t="str">
        <f>PROPER(Tabela1[[#This Row],[regiao]])</f>
        <v>Vale</v>
      </c>
      <c r="J20" s="8">
        <v>3300</v>
      </c>
      <c r="K20" s="9">
        <v>43500</v>
      </c>
      <c r="L20" s="2" t="s">
        <v>86</v>
      </c>
      <c r="M20" s="2">
        <v>27</v>
      </c>
      <c r="N20" s="2" t="str" cm="1">
        <f t="array" ref="N20">_xlfn.IFS(Tabela1[[#This Row],[qtde_]]="N/A", "N/A",Tabela1[[#This Row],[qtde_]]&lt;11,"BAIXO",Tabela1[[#This Row],[qtde_]]&lt;26,"MÉDIO",Tabela1[[#This Row],[qtde_]]&gt;=26,"ALTO")</f>
        <v>ALTO</v>
      </c>
      <c r="O20" s="12" t="str">
        <f>IF(AND(Tabela1[[#This Row],[nivel_risco]]="ALTO",Tabela1[[#This Row],[flag_inadimplente]] = "Sim"),"negada","aprovada")</f>
        <v>aprovada</v>
      </c>
      <c r="P20" s="12" t="str">
        <f>IF(AND(Tabela1[[#This Row],[credito_tomado]]&gt;50000,Tabela1[[#This Row],[flag_inadimplente]]="Sim"),"negada","aprovada")</f>
        <v>aprovada</v>
      </c>
      <c r="Q20" s="6">
        <v>23500</v>
      </c>
      <c r="R20" s="12" t="e" cm="1">
        <f t="array" ref="R2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1" spans="1:18" ht="15.75" customHeight="1" x14ac:dyDescent="0.2">
      <c r="A21" s="2" t="s">
        <v>80</v>
      </c>
      <c r="B21" s="7" t="s">
        <v>146</v>
      </c>
      <c r="C21" s="1" t="s">
        <v>147</v>
      </c>
      <c r="D21" s="1" t="str">
        <f>TEXT(C21,"000\.000\.000\-00")</f>
        <v>000.000.030-00</v>
      </c>
      <c r="E21" s="2">
        <v>33</v>
      </c>
      <c r="F21" s="3">
        <v>34027</v>
      </c>
      <c r="G21" s="2" t="s">
        <v>124</v>
      </c>
      <c r="H21" s="7" t="s">
        <v>148</v>
      </c>
      <c r="I21" s="7" t="str">
        <f>PROPER(Tabela1[[#This Row],[regiao]])</f>
        <v>Essos</v>
      </c>
      <c r="J21" s="8">
        <v>3400</v>
      </c>
      <c r="K21" s="9">
        <v>0</v>
      </c>
      <c r="L21" s="2" t="s">
        <v>86</v>
      </c>
      <c r="M21" s="2">
        <v>13</v>
      </c>
      <c r="N21" s="2" t="str" cm="1">
        <f t="array" ref="N21">_xlfn.IFS(Tabela1[[#This Row],[qtde_]]="N/A", "N/A",Tabela1[[#This Row],[qtde_]]&lt;11,"BAIXO",Tabela1[[#This Row],[qtde_]]&lt;26,"MÉDIO",Tabela1[[#This Row],[qtde_]]&gt;=26,"ALTO")</f>
        <v>MÉDIO</v>
      </c>
      <c r="O21" s="12" t="str">
        <f>IF(AND(Tabela1[[#This Row],[nivel_risco]]="ALTO",Tabela1[[#This Row],[flag_inadimplente]] = "Sim"),"negada","aprovada")</f>
        <v>aprovada</v>
      </c>
      <c r="P21" s="12" t="str">
        <f>IF(AND(Tabela1[[#This Row],[credito_tomado]]&gt;50000,Tabela1[[#This Row],[flag_inadimplente]]="Sim"),"negada","aprovada")</f>
        <v>aprovada</v>
      </c>
      <c r="Q21" s="6">
        <v>70000</v>
      </c>
      <c r="R21" s="12" cm="1">
        <f t="array" ref="R2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5600</v>
      </c>
    </row>
    <row r="22" spans="1:18" ht="15.75" customHeight="1" x14ac:dyDescent="0.2">
      <c r="A22" s="2" t="s">
        <v>96</v>
      </c>
      <c r="B22" s="7" t="s">
        <v>149</v>
      </c>
      <c r="C22" s="1" t="s">
        <v>150</v>
      </c>
      <c r="D22" s="1" t="str">
        <f>TEXT(C22,"000\.000\.000\-00")</f>
        <v>000.000.045-00</v>
      </c>
      <c r="E22" s="2">
        <v>66</v>
      </c>
      <c r="F22" s="3">
        <v>21954</v>
      </c>
      <c r="G22" s="2" t="s">
        <v>89</v>
      </c>
      <c r="H22" s="7" t="s">
        <v>151</v>
      </c>
      <c r="I22" s="7" t="str">
        <f>PROPER(Tabela1[[#This Row],[regiao]])</f>
        <v>Terras Da Coroa</v>
      </c>
      <c r="J22" s="8">
        <v>3400</v>
      </c>
      <c r="K22" s="9">
        <v>78000</v>
      </c>
      <c r="L22" s="2" t="s">
        <v>86</v>
      </c>
      <c r="M22" s="2">
        <v>9</v>
      </c>
      <c r="N22" s="2" t="str" cm="1">
        <f t="array" ref="N22">_xlfn.IFS(Tabela1[[#This Row],[qtde_]]="N/A", "N/A",Tabela1[[#This Row],[qtde_]]&lt;11,"BAIXO",Tabela1[[#This Row],[qtde_]]&lt;26,"MÉDIO",Tabela1[[#This Row],[qtde_]]&gt;=26,"ALTO")</f>
        <v>BAIXO</v>
      </c>
      <c r="O22" s="12" t="str">
        <f>IF(AND(Tabela1[[#This Row],[nivel_risco]]="ALTO",Tabela1[[#This Row],[flag_inadimplente]] = "Sim"),"negada","aprovada")</f>
        <v>aprovada</v>
      </c>
      <c r="P22" s="12" t="str">
        <f>IF(AND(Tabela1[[#This Row],[credito_tomado]]&gt;50000,Tabela1[[#This Row],[flag_inadimplente]]="Sim"),"negada","aprovada")</f>
        <v>aprovada</v>
      </c>
      <c r="Q22" s="6">
        <v>51500</v>
      </c>
      <c r="R22" s="12" t="e" cm="1">
        <f t="array" ref="R2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3" spans="1:18" ht="15.75" customHeight="1" x14ac:dyDescent="0.2">
      <c r="A23" s="2" t="s">
        <v>96</v>
      </c>
      <c r="B23" s="7" t="s">
        <v>152</v>
      </c>
      <c r="C23" s="1">
        <v>6400</v>
      </c>
      <c r="D23" s="1" t="str">
        <f>TEXT(C23,"000\.000\.000\-00")</f>
        <v>000.000.064-00</v>
      </c>
      <c r="E23" s="2">
        <v>57</v>
      </c>
      <c r="F23" s="3">
        <v>25206</v>
      </c>
      <c r="G23" s="2" t="s">
        <v>153</v>
      </c>
      <c r="H23" s="7" t="s">
        <v>154</v>
      </c>
      <c r="I23" s="7" t="str">
        <f>PROPER(Tabela1[[#This Row],[regiao]])</f>
        <v>Terras Fluviais</v>
      </c>
      <c r="J23" s="8">
        <v>3400</v>
      </c>
      <c r="K23" s="9">
        <v>0</v>
      </c>
      <c r="L23" s="2" t="s">
        <v>86</v>
      </c>
      <c r="M23" s="2">
        <v>20</v>
      </c>
      <c r="N23" s="2" t="str" cm="1">
        <f t="array" ref="N23">_xlfn.IFS(Tabela1[[#This Row],[qtde_]]="N/A", "N/A",Tabela1[[#This Row],[qtde_]]&lt;11,"BAIXO",Tabela1[[#This Row],[qtde_]]&lt;26,"MÉDIO",Tabela1[[#This Row],[qtde_]]&gt;=26,"ALTO")</f>
        <v>MÉDIO</v>
      </c>
      <c r="O23" s="12" t="str">
        <f>IF(AND(Tabela1[[#This Row],[nivel_risco]]="ALTO",Tabela1[[#This Row],[flag_inadimplente]] = "Sim"),"negada","aprovada")</f>
        <v>aprovada</v>
      </c>
      <c r="P23" s="12" t="str">
        <f>IF(AND(Tabela1[[#This Row],[credito_tomado]]&gt;50000,Tabela1[[#This Row],[flag_inadimplente]]="Sim"),"negada","aprovada")</f>
        <v>aprovada</v>
      </c>
      <c r="Q23" s="6">
        <v>19500</v>
      </c>
      <c r="R23" s="12" t="e" cm="1">
        <f t="array" ref="R2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4" spans="1:18" ht="15.75" customHeight="1" x14ac:dyDescent="0.2">
      <c r="A24" s="2" t="s">
        <v>96</v>
      </c>
      <c r="B24" s="7" t="s">
        <v>152</v>
      </c>
      <c r="C24" s="1">
        <v>6400</v>
      </c>
      <c r="D24" s="1" t="str">
        <f>TEXT(C24,"000\.000\.000\-00")</f>
        <v>000.000.064-00</v>
      </c>
      <c r="E24" s="2">
        <v>57</v>
      </c>
      <c r="F24" s="3">
        <v>25206</v>
      </c>
      <c r="G24" s="2" t="s">
        <v>153</v>
      </c>
      <c r="H24" s="7" t="s">
        <v>154</v>
      </c>
      <c r="I24" s="7" t="str">
        <f>PROPER(Tabela1[[#This Row],[regiao]])</f>
        <v>Terras Fluviais</v>
      </c>
      <c r="J24" s="8">
        <v>3400</v>
      </c>
      <c r="K24" s="9">
        <v>23500</v>
      </c>
      <c r="L24" s="2" t="s">
        <v>86</v>
      </c>
      <c r="M24" s="2">
        <v>20</v>
      </c>
      <c r="N24" s="2" t="str" cm="1">
        <f t="array" ref="N24">_xlfn.IFS(Tabela1[[#This Row],[qtde_]]="N/A", "N/A",Tabela1[[#This Row],[qtde_]]&lt;11,"BAIXO",Tabela1[[#This Row],[qtde_]]&lt;26,"MÉDIO",Tabela1[[#This Row],[qtde_]]&gt;=26,"ALTO")</f>
        <v>MÉDIO</v>
      </c>
      <c r="O24" s="12" t="str">
        <f>IF(AND(Tabela1[[#This Row],[nivel_risco]]="ALTO",Tabela1[[#This Row],[flag_inadimplente]] = "Sim"),"negada","aprovada")</f>
        <v>aprovada</v>
      </c>
      <c r="P24" s="12" t="str">
        <f>IF(AND(Tabela1[[#This Row],[credito_tomado]]&gt;50000,Tabela1[[#This Row],[flag_inadimplente]]="Sim"),"negada","aprovada")</f>
        <v>aprovada</v>
      </c>
      <c r="Q24" s="6">
        <v>50500</v>
      </c>
      <c r="R24" s="12" t="e" cm="1">
        <f t="array" ref="R2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5" spans="1:18" ht="15.75" customHeight="1" x14ac:dyDescent="0.2">
      <c r="A25" s="2" t="s">
        <v>80</v>
      </c>
      <c r="B25" s="7" t="s">
        <v>155</v>
      </c>
      <c r="C25" s="1">
        <v>34800</v>
      </c>
      <c r="D25" s="1" t="str">
        <f>TEXT(C25,"000\.000\.000\-00")</f>
        <v>000.000.348-00</v>
      </c>
      <c r="E25" s="2">
        <v>26</v>
      </c>
      <c r="F25" s="3">
        <v>36596</v>
      </c>
      <c r="G25" s="2" t="s">
        <v>156</v>
      </c>
      <c r="H25" s="7" t="s">
        <v>157</v>
      </c>
      <c r="I25" s="7" t="str">
        <f>PROPER(Tabela1[[#This Row],[regiao]])</f>
        <v>Norte</v>
      </c>
      <c r="J25" s="8">
        <v>3500</v>
      </c>
      <c r="K25" s="9">
        <v>50000</v>
      </c>
      <c r="L25" s="2" t="s">
        <v>86</v>
      </c>
      <c r="M25" s="2">
        <v>40</v>
      </c>
      <c r="N25" s="2" t="str" cm="1">
        <f t="array" ref="N25">_xlfn.IFS(Tabela1[[#This Row],[qtde_]]="N/A", "N/A",Tabela1[[#This Row],[qtde_]]&lt;11,"BAIXO",Tabela1[[#This Row],[qtde_]]&lt;26,"MÉDIO",Tabela1[[#This Row],[qtde_]]&gt;=26,"ALTO")</f>
        <v>ALTO</v>
      </c>
      <c r="O25" s="12" t="str">
        <f>IF(AND(Tabela1[[#This Row],[nivel_risco]]="ALTO",Tabela1[[#This Row],[flag_inadimplente]] = "Sim"),"negada","aprovada")</f>
        <v>aprovada</v>
      </c>
      <c r="P25" s="12" t="str">
        <f>IF(AND(Tabela1[[#This Row],[credito_tomado]]&gt;50000,Tabela1[[#This Row],[flag_inadimplente]]="Sim"),"negada","aprovada")</f>
        <v>aprovada</v>
      </c>
      <c r="Q25" s="6">
        <v>46500</v>
      </c>
      <c r="R25" s="12" cm="1">
        <f t="array" ref="R2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3720</v>
      </c>
    </row>
    <row r="26" spans="1:18" ht="15.75" customHeight="1" x14ac:dyDescent="0.2">
      <c r="A26" s="2" t="s">
        <v>80</v>
      </c>
      <c r="B26" s="7" t="s">
        <v>158</v>
      </c>
      <c r="C26" s="1">
        <v>29500</v>
      </c>
      <c r="D26" s="1" t="str">
        <f>TEXT(C26,"000\.000\.000\-00")</f>
        <v>000.000.295-00</v>
      </c>
      <c r="E26" s="2">
        <v>68</v>
      </c>
      <c r="F26" s="3">
        <v>21079</v>
      </c>
      <c r="G26" s="2" t="s">
        <v>108</v>
      </c>
      <c r="H26" s="7" t="s">
        <v>159</v>
      </c>
      <c r="I26" s="7" t="str">
        <f>PROPER(Tabela1[[#This Row],[regiao]])</f>
        <v>Gargalo</v>
      </c>
      <c r="J26" s="8">
        <v>3600</v>
      </c>
      <c r="K26" s="9">
        <v>64500</v>
      </c>
      <c r="L26" s="2" t="s">
        <v>101</v>
      </c>
      <c r="M26" s="2">
        <v>32</v>
      </c>
      <c r="N26" s="2" t="str" cm="1">
        <f t="array" ref="N26">_xlfn.IFS(Tabela1[[#This Row],[qtde_]]="N/A", "N/A",Tabela1[[#This Row],[qtde_]]&lt;11,"BAIXO",Tabela1[[#This Row],[qtde_]]&lt;26,"MÉDIO",Tabela1[[#This Row],[qtde_]]&gt;=26,"ALTO")</f>
        <v>ALTO</v>
      </c>
      <c r="O26" s="12" t="str">
        <f>IF(AND(Tabela1[[#This Row],[nivel_risco]]="ALTO",Tabela1[[#This Row],[flag_inadimplente]] = "Sim"),"negada","aprovada")</f>
        <v>negada</v>
      </c>
      <c r="P26" s="12" t="str">
        <f>IF(AND(Tabela1[[#This Row],[credito_tomado]]&gt;50000,Tabela1[[#This Row],[flag_inadimplente]]="Sim"),"negada","aprovada")</f>
        <v>negada</v>
      </c>
      <c r="Q26" s="6">
        <v>35500</v>
      </c>
      <c r="R26" s="12" t="str" cm="1">
        <f t="array" ref="R2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7" spans="1:18" ht="15.75" customHeight="1" x14ac:dyDescent="0.2">
      <c r="A27" s="2" t="s">
        <v>96</v>
      </c>
      <c r="B27" s="7" t="s">
        <v>160</v>
      </c>
      <c r="C27" s="1" t="s">
        <v>161</v>
      </c>
      <c r="D27" s="1" t="str">
        <f>TEXT(C27,"000\.000\.000\-00")</f>
        <v>000.000.373-00</v>
      </c>
      <c r="E27" s="2">
        <v>68</v>
      </c>
      <c r="F27" s="3">
        <v>21293</v>
      </c>
      <c r="G27" s="2" t="s">
        <v>94</v>
      </c>
      <c r="H27" s="7" t="s">
        <v>162</v>
      </c>
      <c r="I27" s="7" t="str">
        <f>PROPER(Tabela1[[#This Row],[regiao]])</f>
        <v>Ilhas De Ferro</v>
      </c>
      <c r="J27" s="8">
        <v>3800</v>
      </c>
      <c r="K27" s="9">
        <v>70000</v>
      </c>
      <c r="L27" s="2" t="s">
        <v>101</v>
      </c>
      <c r="M27" s="2">
        <v>34</v>
      </c>
      <c r="N27" s="2" t="str" cm="1">
        <f t="array" ref="N27">_xlfn.IFS(Tabela1[[#This Row],[qtde_]]="N/A", "N/A",Tabela1[[#This Row],[qtde_]]&lt;11,"BAIXO",Tabela1[[#This Row],[qtde_]]&lt;26,"MÉDIO",Tabela1[[#This Row],[qtde_]]&gt;=26,"ALTO")</f>
        <v>ALTO</v>
      </c>
      <c r="O27" s="12" t="str">
        <f>IF(AND(Tabela1[[#This Row],[nivel_risco]]="ALTO",Tabela1[[#This Row],[flag_inadimplente]] = "Sim"),"negada","aprovada")</f>
        <v>negada</v>
      </c>
      <c r="P27" s="12" t="str">
        <f>IF(AND(Tabela1[[#This Row],[credito_tomado]]&gt;50000,Tabela1[[#This Row],[flag_inadimplente]]="Sim"),"negada","aprovada")</f>
        <v>negada</v>
      </c>
      <c r="Q27" s="6">
        <v>7500</v>
      </c>
      <c r="R27" s="12" t="str" cm="1">
        <f t="array" ref="R2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8" spans="1:18" ht="15.75" customHeight="1" x14ac:dyDescent="0.2">
      <c r="A28" s="2" t="s">
        <v>80</v>
      </c>
      <c r="B28" s="7" t="s">
        <v>163</v>
      </c>
      <c r="C28" s="1" t="s">
        <v>164</v>
      </c>
      <c r="D28" s="1" t="str">
        <f>TEXT(C28,"000\.000\.000\-00")</f>
        <v>000.000.333-00</v>
      </c>
      <c r="E28" s="2">
        <v>21</v>
      </c>
      <c r="F28" s="3">
        <v>38323</v>
      </c>
      <c r="G28" s="2" t="s">
        <v>153</v>
      </c>
      <c r="H28" s="7" t="s">
        <v>141</v>
      </c>
      <c r="I28" s="7" t="str">
        <f>PROPER(Tabela1[[#This Row],[regiao]])</f>
        <v>Terras Fluviais</v>
      </c>
      <c r="J28" s="8">
        <v>3800</v>
      </c>
      <c r="K28" s="9">
        <v>0</v>
      </c>
      <c r="L28" s="2" t="s">
        <v>86</v>
      </c>
      <c r="M28" s="2">
        <v>25</v>
      </c>
      <c r="N28" s="2" t="str" cm="1">
        <f t="array" ref="N28">_xlfn.IFS(Tabela1[[#This Row],[qtde_]]="N/A", "N/A",Tabela1[[#This Row],[qtde_]]&lt;11,"BAIXO",Tabela1[[#This Row],[qtde_]]&lt;26,"MÉDIO",Tabela1[[#This Row],[qtde_]]&gt;=26,"ALTO")</f>
        <v>MÉDIO</v>
      </c>
      <c r="O28" s="12" t="str">
        <f>IF(AND(Tabela1[[#This Row],[nivel_risco]]="ALTO",Tabela1[[#This Row],[flag_inadimplente]] = "Sim"),"negada","aprovada")</f>
        <v>aprovada</v>
      </c>
      <c r="P28" s="12" t="str">
        <f>IF(AND(Tabela1[[#This Row],[credito_tomado]]&gt;50000,Tabela1[[#This Row],[flag_inadimplente]]="Sim"),"negada","aprovada")</f>
        <v>aprovada</v>
      </c>
      <c r="Q28" s="6">
        <v>50000</v>
      </c>
      <c r="R28" s="12" cm="1">
        <f t="array" ref="R2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4000</v>
      </c>
    </row>
    <row r="29" spans="1:18" ht="15.75" customHeight="1" x14ac:dyDescent="0.2">
      <c r="A29" s="2" t="s">
        <v>80</v>
      </c>
      <c r="B29" s="7" t="s">
        <v>165</v>
      </c>
      <c r="C29" s="1">
        <v>35200</v>
      </c>
      <c r="D29" s="1" t="str">
        <f>TEXT(C29,"000\.000\.000\-00")</f>
        <v>000.000.352-00</v>
      </c>
      <c r="E29" s="2">
        <v>65</v>
      </c>
      <c r="F29" s="3">
        <v>22337</v>
      </c>
      <c r="G29" s="2" t="s">
        <v>112</v>
      </c>
      <c r="H29" s="7" t="s">
        <v>113</v>
      </c>
      <c r="I29" s="7" t="str">
        <f>PROPER(Tabela1[[#This Row],[regiao]])</f>
        <v>Norte</v>
      </c>
      <c r="J29" s="8">
        <v>3800</v>
      </c>
      <c r="K29" s="9">
        <v>49500</v>
      </c>
      <c r="L29" s="2" t="s">
        <v>86</v>
      </c>
      <c r="M29" s="2">
        <v>16</v>
      </c>
      <c r="N29" s="2" t="str" cm="1">
        <f t="array" ref="N29">_xlfn.IFS(Tabela1[[#This Row],[qtde_]]="N/A", "N/A",Tabela1[[#This Row],[qtde_]]&lt;11,"BAIXO",Tabela1[[#This Row],[qtde_]]&lt;26,"MÉDIO",Tabela1[[#This Row],[qtde_]]&gt;=26,"ALTO")</f>
        <v>MÉDIO</v>
      </c>
      <c r="O29" s="12" t="str">
        <f>IF(AND(Tabela1[[#This Row],[nivel_risco]]="ALTO",Tabela1[[#This Row],[flag_inadimplente]] = "Sim"),"negada","aprovada")</f>
        <v>aprovada</v>
      </c>
      <c r="P29" s="12" t="str">
        <f>IF(AND(Tabela1[[#This Row],[credito_tomado]]&gt;50000,Tabela1[[#This Row],[flag_inadimplente]]="Sim"),"negada","aprovada")</f>
        <v>aprovada</v>
      </c>
      <c r="Q29" s="6">
        <v>15500</v>
      </c>
      <c r="R29" s="12" cm="1">
        <f t="array" ref="R2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1240</v>
      </c>
    </row>
    <row r="30" spans="1:18" ht="15.75" customHeight="1" x14ac:dyDescent="0.2">
      <c r="A30" s="2" t="s">
        <v>96</v>
      </c>
      <c r="B30" s="7" t="s">
        <v>166</v>
      </c>
      <c r="C30" s="1">
        <v>26700</v>
      </c>
      <c r="D30" s="1" t="str">
        <f>TEXT(C30,"000\.000\.000\-00")</f>
        <v>000.000.267-00</v>
      </c>
      <c r="E30" s="2">
        <v>54</v>
      </c>
      <c r="F30" s="3">
        <v>26453</v>
      </c>
      <c r="G30" s="2" t="s">
        <v>108</v>
      </c>
      <c r="H30" s="7" t="s">
        <v>130</v>
      </c>
      <c r="I30" s="7" t="str">
        <f>PROPER(Tabela1[[#This Row],[regiao]])</f>
        <v>Gargalo</v>
      </c>
      <c r="J30" s="8">
        <v>3900</v>
      </c>
      <c r="K30" s="9">
        <v>80000</v>
      </c>
      <c r="L30" s="2" t="s">
        <v>86</v>
      </c>
      <c r="M30" s="2">
        <v>41</v>
      </c>
      <c r="N30" s="2" t="str" cm="1">
        <f t="array" ref="N30">_xlfn.IFS(Tabela1[[#This Row],[qtde_]]="N/A", "N/A",Tabela1[[#This Row],[qtde_]]&lt;11,"BAIXO",Tabela1[[#This Row],[qtde_]]&lt;26,"MÉDIO",Tabela1[[#This Row],[qtde_]]&gt;=26,"ALTO")</f>
        <v>ALTO</v>
      </c>
      <c r="O30" s="12" t="str">
        <f>IF(AND(Tabela1[[#This Row],[nivel_risco]]="ALTO",Tabela1[[#This Row],[flag_inadimplente]] = "Sim"),"negada","aprovada")</f>
        <v>aprovada</v>
      </c>
      <c r="P30" s="12" t="str">
        <f>IF(AND(Tabela1[[#This Row],[credito_tomado]]&gt;50000,Tabela1[[#This Row],[flag_inadimplente]]="Sim"),"negada","aprovada")</f>
        <v>aprovada</v>
      </c>
      <c r="Q30" s="6">
        <v>30000</v>
      </c>
      <c r="R30" s="12" t="e" cm="1">
        <f t="array" ref="R3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1" spans="1:18" ht="15.75" customHeight="1" x14ac:dyDescent="0.2">
      <c r="A31" s="2" t="s">
        <v>80</v>
      </c>
      <c r="B31" s="7" t="s">
        <v>167</v>
      </c>
      <c r="C31" s="1" t="s">
        <v>168</v>
      </c>
      <c r="D31" s="1" t="str">
        <f>TEXT(C31,"000\.000\.000\-00")</f>
        <v>000.000.115-00</v>
      </c>
      <c r="E31" s="2">
        <v>72</v>
      </c>
      <c r="F31" s="3">
        <v>19839</v>
      </c>
      <c r="G31" s="2" t="s">
        <v>144</v>
      </c>
      <c r="H31" s="7" t="s">
        <v>169</v>
      </c>
      <c r="I31" s="7" t="str">
        <f>PROPER(Tabela1[[#This Row],[regiao]])</f>
        <v>Vale</v>
      </c>
      <c r="J31" s="8">
        <v>3900</v>
      </c>
      <c r="K31" s="9">
        <v>27000</v>
      </c>
      <c r="L31" s="2" t="s">
        <v>86</v>
      </c>
      <c r="M31" s="2">
        <v>33</v>
      </c>
      <c r="N31" s="2" t="str" cm="1">
        <f t="array" ref="N31">_xlfn.IFS(Tabela1[[#This Row],[qtde_]]="N/A", "N/A",Tabela1[[#This Row],[qtde_]]&lt;11,"BAIXO",Tabela1[[#This Row],[qtde_]]&lt;26,"MÉDIO",Tabela1[[#This Row],[qtde_]]&gt;=26,"ALTO")</f>
        <v>ALTO</v>
      </c>
      <c r="O31" s="12" t="str">
        <f>IF(AND(Tabela1[[#This Row],[nivel_risco]]="ALTO",Tabela1[[#This Row],[flag_inadimplente]] = "Sim"),"negada","aprovada")</f>
        <v>aprovada</v>
      </c>
      <c r="P31" s="12" t="str">
        <f>IF(AND(Tabela1[[#This Row],[credito_tomado]]&gt;50000,Tabela1[[#This Row],[flag_inadimplente]]="Sim"),"negada","aprovada")</f>
        <v>aprovada</v>
      </c>
      <c r="Q31" s="6">
        <v>2000</v>
      </c>
      <c r="R31" s="12" cm="1">
        <f t="array" ref="R3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160</v>
      </c>
    </row>
    <row r="32" spans="1:18" ht="15.75" customHeight="1" x14ac:dyDescent="0.2">
      <c r="A32" s="2" t="s">
        <v>96</v>
      </c>
      <c r="B32" s="7" t="s">
        <v>170</v>
      </c>
      <c r="C32" s="1" t="s">
        <v>171</v>
      </c>
      <c r="D32" s="1" t="str">
        <f>TEXT(C32,"000\.000\.000\-00")</f>
        <v>000.000.017-00</v>
      </c>
      <c r="E32" s="2">
        <v>30</v>
      </c>
      <c r="F32" s="3">
        <v>35213</v>
      </c>
      <c r="G32" s="2" t="s">
        <v>84</v>
      </c>
      <c r="H32" s="10" t="s">
        <v>85</v>
      </c>
      <c r="I32" s="10" t="str">
        <f>PROPER(Tabela1[[#This Row],[regiao]])</f>
        <v>Campina</v>
      </c>
      <c r="J32" s="8">
        <v>3900</v>
      </c>
      <c r="K32" s="9">
        <v>45000</v>
      </c>
      <c r="L32" s="2" t="s">
        <v>86</v>
      </c>
      <c r="M32" s="2">
        <v>34</v>
      </c>
      <c r="N32" s="2" t="str" cm="1">
        <f t="array" ref="N32">_xlfn.IFS(Tabela1[[#This Row],[qtde_]]="N/A", "N/A",Tabela1[[#This Row],[qtde_]]&lt;11,"BAIXO",Tabela1[[#This Row],[qtde_]]&lt;26,"MÉDIO",Tabela1[[#This Row],[qtde_]]&gt;=26,"ALTO")</f>
        <v>ALTO</v>
      </c>
      <c r="O32" s="12" t="str">
        <f>IF(AND(Tabela1[[#This Row],[nivel_risco]]="ALTO",Tabela1[[#This Row],[flag_inadimplente]] = "Sim"),"negada","aprovada")</f>
        <v>aprovada</v>
      </c>
      <c r="P32" s="12" t="str">
        <f>IF(AND(Tabela1[[#This Row],[credito_tomado]]&gt;50000,Tabela1[[#This Row],[flag_inadimplente]]="Sim"),"negada","aprovada")</f>
        <v>aprovada</v>
      </c>
      <c r="Q32" s="6">
        <v>41500</v>
      </c>
      <c r="R32" s="12" t="e" cm="1">
        <f t="array" ref="R3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3" spans="1:18" ht="15.75" customHeight="1" x14ac:dyDescent="0.2">
      <c r="A33" s="2" t="s">
        <v>80</v>
      </c>
      <c r="B33" s="7" t="s">
        <v>172</v>
      </c>
      <c r="C33" s="1" t="s">
        <v>173</v>
      </c>
      <c r="D33" s="1" t="str">
        <f>TEXT(C33,"000\.000\.000\-00")</f>
        <v>000.000.298-00</v>
      </c>
      <c r="E33" s="2">
        <v>19</v>
      </c>
      <c r="F33" s="3">
        <v>39003</v>
      </c>
      <c r="G33" s="2" t="s">
        <v>156</v>
      </c>
      <c r="H33" s="7" t="s">
        <v>113</v>
      </c>
      <c r="I33" s="7" t="str">
        <f>PROPER(Tabela1[[#This Row],[regiao]])</f>
        <v>Norte</v>
      </c>
      <c r="J33" s="8">
        <v>4000</v>
      </c>
      <c r="K33" s="9">
        <v>29500</v>
      </c>
      <c r="L33" s="2" t="s">
        <v>101</v>
      </c>
      <c r="M33" s="2">
        <v>13</v>
      </c>
      <c r="N33" s="2" t="str" cm="1">
        <f t="array" ref="N33">_xlfn.IFS(Tabela1[[#This Row],[qtde_]]="N/A", "N/A",Tabela1[[#This Row],[qtde_]]&lt;11,"BAIXO",Tabela1[[#This Row],[qtde_]]&lt;26,"MÉDIO",Tabela1[[#This Row],[qtde_]]&gt;=26,"ALTO")</f>
        <v>MÉDIO</v>
      </c>
      <c r="O33" s="12" t="str">
        <f>IF(AND(Tabela1[[#This Row],[nivel_risco]]="ALTO",Tabela1[[#This Row],[flag_inadimplente]] = "Sim"),"negada","aprovada")</f>
        <v>aprovada</v>
      </c>
      <c r="P33" s="12" t="str">
        <f>IF(AND(Tabela1[[#This Row],[credito_tomado]]&gt;50000,Tabela1[[#This Row],[flag_inadimplente]]="Sim"),"negada","aprovada")</f>
        <v>aprovada</v>
      </c>
      <c r="Q33" s="6">
        <v>5000</v>
      </c>
      <c r="R33" s="12" cm="1">
        <f t="array" ref="R3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400</v>
      </c>
    </row>
    <row r="34" spans="1:18" ht="15.75" customHeight="1" x14ac:dyDescent="0.2">
      <c r="A34" s="2" t="s">
        <v>96</v>
      </c>
      <c r="B34" s="7" t="s">
        <v>174</v>
      </c>
      <c r="D34" s="1" t="str">
        <f>TEXT(C34,"000\.000\.000\-00")</f>
        <v>000.000.000-00</v>
      </c>
      <c r="E34" s="2">
        <v>61</v>
      </c>
      <c r="F34" s="3">
        <v>23932</v>
      </c>
      <c r="G34" s="2" t="s">
        <v>153</v>
      </c>
      <c r="H34" s="7" t="s">
        <v>141</v>
      </c>
      <c r="I34" s="7" t="str">
        <f>PROPER(Tabela1[[#This Row],[regiao]])</f>
        <v>Terras Fluviais</v>
      </c>
      <c r="J34" s="8">
        <v>4100</v>
      </c>
      <c r="K34" s="9">
        <v>78000</v>
      </c>
      <c r="L34" s="2" t="s">
        <v>86</v>
      </c>
      <c r="M34" s="2">
        <v>25</v>
      </c>
      <c r="N34" s="2" t="str" cm="1">
        <f t="array" ref="N34">_xlfn.IFS(Tabela1[[#This Row],[qtde_]]="N/A", "N/A",Tabela1[[#This Row],[qtde_]]&lt;11,"BAIXO",Tabela1[[#This Row],[qtde_]]&lt;26,"MÉDIO",Tabela1[[#This Row],[qtde_]]&gt;=26,"ALTO")</f>
        <v>MÉDIO</v>
      </c>
      <c r="O34" s="12" t="str">
        <f>IF(AND(Tabela1[[#This Row],[nivel_risco]]="ALTO",Tabela1[[#This Row],[flag_inadimplente]] = "Sim"),"negada","aprovada")</f>
        <v>aprovada</v>
      </c>
      <c r="P34" s="12" t="str">
        <f>IF(AND(Tabela1[[#This Row],[credito_tomado]]&gt;50000,Tabela1[[#This Row],[flag_inadimplente]]="Sim"),"negada","aprovada")</f>
        <v>aprovada</v>
      </c>
      <c r="Q34" s="6">
        <v>48000</v>
      </c>
      <c r="R34" s="12" t="e" cm="1">
        <f t="array" ref="R3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5" spans="1:18" ht="15.75" customHeight="1" x14ac:dyDescent="0.2">
      <c r="A35" s="2" t="s">
        <v>80</v>
      </c>
      <c r="B35" s="7" t="s">
        <v>175</v>
      </c>
      <c r="C35" s="1" t="s">
        <v>176</v>
      </c>
      <c r="D35" s="1" t="str">
        <f>TEXT(C35,"000\.000\.000\-00")</f>
        <v>000.000.101-00</v>
      </c>
      <c r="E35" s="2">
        <v>22</v>
      </c>
      <c r="F35" s="3">
        <v>37936</v>
      </c>
      <c r="G35" s="2" t="s">
        <v>144</v>
      </c>
      <c r="H35" s="7" t="s">
        <v>177</v>
      </c>
      <c r="I35" s="7" t="str">
        <f>PROPER(Tabela1[[#This Row],[regiao]])</f>
        <v>Vale</v>
      </c>
      <c r="J35" s="8">
        <v>4100</v>
      </c>
      <c r="K35" s="9">
        <v>2000</v>
      </c>
      <c r="L35" s="2" t="s">
        <v>86</v>
      </c>
      <c r="M35" s="2">
        <v>8</v>
      </c>
      <c r="N35" s="2" t="str" cm="1">
        <f t="array" ref="N35">_xlfn.IFS(Tabela1[[#This Row],[qtde_]]="N/A", "N/A",Tabela1[[#This Row],[qtde_]]&lt;11,"BAIXO",Tabela1[[#This Row],[qtde_]]&lt;26,"MÉDIO",Tabela1[[#This Row],[qtde_]]&gt;=26,"ALTO")</f>
        <v>BAIXO</v>
      </c>
      <c r="O35" s="12" t="str">
        <f>IF(AND(Tabela1[[#This Row],[nivel_risco]]="ALTO",Tabela1[[#This Row],[flag_inadimplente]] = "Sim"),"negada","aprovada")</f>
        <v>aprovada</v>
      </c>
      <c r="P35" s="12" t="str">
        <f>IF(AND(Tabela1[[#This Row],[credito_tomado]]&gt;50000,Tabela1[[#This Row],[flag_inadimplente]]="Sim"),"negada","aprovada")</f>
        <v>aprovada</v>
      </c>
      <c r="Q35" s="6">
        <v>4000</v>
      </c>
      <c r="R35" s="12" cm="1">
        <f t="array" ref="R3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320</v>
      </c>
    </row>
    <row r="36" spans="1:18" ht="15.75" customHeight="1" x14ac:dyDescent="0.2">
      <c r="A36" s="2" t="s">
        <v>96</v>
      </c>
      <c r="B36" s="7" t="s">
        <v>178</v>
      </c>
      <c r="C36" s="1" t="s">
        <v>179</v>
      </c>
      <c r="D36" s="1" t="str">
        <f>TEXT(C36,"000\.000\.000\-00")</f>
        <v>000.000.241-00</v>
      </c>
      <c r="E36" s="2">
        <v>21</v>
      </c>
      <c r="F36" s="3">
        <v>38328</v>
      </c>
      <c r="G36" s="2" t="s">
        <v>94</v>
      </c>
      <c r="H36" s="7" t="s">
        <v>95</v>
      </c>
      <c r="I36" s="7" t="str">
        <f>PROPER(Tabela1[[#This Row],[regiao]])</f>
        <v>Ilhas De Ferro</v>
      </c>
      <c r="J36" s="8">
        <v>4400</v>
      </c>
      <c r="K36" s="9">
        <v>23500</v>
      </c>
      <c r="L36" s="2" t="s">
        <v>101</v>
      </c>
      <c r="M36" s="2">
        <v>31</v>
      </c>
      <c r="N36" s="2" t="str" cm="1">
        <f t="array" ref="N36">_xlfn.IFS(Tabela1[[#This Row],[qtde_]]="N/A", "N/A",Tabela1[[#This Row],[qtde_]]&lt;11,"BAIXO",Tabela1[[#This Row],[qtde_]]&lt;26,"MÉDIO",Tabela1[[#This Row],[qtde_]]&gt;=26,"ALTO")</f>
        <v>ALTO</v>
      </c>
      <c r="O36" s="12" t="str">
        <f>IF(AND(Tabela1[[#This Row],[nivel_risco]]="ALTO",Tabela1[[#This Row],[flag_inadimplente]] = "Sim"),"negada","aprovada")</f>
        <v>negada</v>
      </c>
      <c r="P36" s="12" t="str">
        <f>IF(AND(Tabela1[[#This Row],[credito_tomado]]&gt;50000,Tabela1[[#This Row],[flag_inadimplente]]="Sim"),"negada","aprovada")</f>
        <v>aprovada</v>
      </c>
      <c r="Q36" s="6">
        <v>91000</v>
      </c>
      <c r="R36" s="12" t="e" cm="1">
        <f t="array" ref="R3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7" spans="1:18" ht="15.75" customHeight="1" x14ac:dyDescent="0.2">
      <c r="A37" s="2" t="s">
        <v>80</v>
      </c>
      <c r="B37" s="7" t="s">
        <v>180</v>
      </c>
      <c r="C37" s="1" t="s">
        <v>181</v>
      </c>
      <c r="D37" s="1" t="str">
        <f>TEXT(C37,"000\.000\.000\-00")</f>
        <v>000.000.288-00</v>
      </c>
      <c r="E37" s="2">
        <v>48</v>
      </c>
      <c r="F37" s="3">
        <v>28430</v>
      </c>
      <c r="G37" s="2" t="s">
        <v>94</v>
      </c>
      <c r="H37" s="7" t="s">
        <v>182</v>
      </c>
      <c r="I37" s="7" t="str">
        <f>PROPER(Tabela1[[#This Row],[regiao]])</f>
        <v>Ilhas De Ferro</v>
      </c>
      <c r="J37" s="8">
        <v>4500</v>
      </c>
      <c r="K37" s="9">
        <v>0</v>
      </c>
      <c r="L37" s="2" t="s">
        <v>86</v>
      </c>
      <c r="M37" s="2">
        <v>3</v>
      </c>
      <c r="N37" s="2" t="str" cm="1">
        <f t="array" ref="N37">_xlfn.IFS(Tabela1[[#This Row],[qtde_]]="N/A", "N/A",Tabela1[[#This Row],[qtde_]]&lt;11,"BAIXO",Tabela1[[#This Row],[qtde_]]&lt;26,"MÉDIO",Tabela1[[#This Row],[qtde_]]&gt;=26,"ALTO")</f>
        <v>BAIXO</v>
      </c>
      <c r="O37" s="12" t="str">
        <f>IF(AND(Tabela1[[#This Row],[nivel_risco]]="ALTO",Tabela1[[#This Row],[flag_inadimplente]] = "Sim"),"negada","aprovada")</f>
        <v>aprovada</v>
      </c>
      <c r="P37" s="12" t="str">
        <f>IF(AND(Tabela1[[#This Row],[credito_tomado]]&gt;50000,Tabela1[[#This Row],[flag_inadimplente]]="Sim"),"negada","aprovada")</f>
        <v>aprovada</v>
      </c>
      <c r="Q37" s="6">
        <v>48500</v>
      </c>
      <c r="R37" s="12" cm="1">
        <f t="array" ref="R3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3880</v>
      </c>
    </row>
    <row r="38" spans="1:18" ht="15.75" customHeight="1" x14ac:dyDescent="0.2">
      <c r="A38" s="2" t="s">
        <v>80</v>
      </c>
      <c r="B38" s="7" t="s">
        <v>183</v>
      </c>
      <c r="C38" s="1" t="s">
        <v>184</v>
      </c>
      <c r="D38" s="1" t="str">
        <f>TEXT(C38,"000\.000\.000\-00")</f>
        <v>000.000.182-00</v>
      </c>
      <c r="E38" s="2">
        <v>58</v>
      </c>
      <c r="F38" s="3">
        <v>25066</v>
      </c>
      <c r="G38" s="2" t="s">
        <v>84</v>
      </c>
      <c r="H38" s="7" t="s">
        <v>122</v>
      </c>
      <c r="I38" s="7" t="str">
        <f>PROPER(Tabela1[[#This Row],[regiao]])</f>
        <v>Campina</v>
      </c>
      <c r="J38" s="8">
        <v>4500</v>
      </c>
      <c r="K38" s="9" t="s">
        <v>83</v>
      </c>
      <c r="L38" s="2" t="s">
        <v>101</v>
      </c>
      <c r="M38" s="2">
        <v>31</v>
      </c>
      <c r="N38" s="2" t="str" cm="1">
        <f t="array" ref="N38">_xlfn.IFS(Tabela1[[#This Row],[qtde_]]="N/A", "N/A",Tabela1[[#This Row],[qtde_]]&lt;11,"BAIXO",Tabela1[[#This Row],[qtde_]]&lt;26,"MÉDIO",Tabela1[[#This Row],[qtde_]]&gt;=26,"ALTO")</f>
        <v>ALTO</v>
      </c>
      <c r="O38" s="12" t="str">
        <f>IF(AND(Tabela1[[#This Row],[nivel_risco]]="ALTO",Tabela1[[#This Row],[flag_inadimplente]] = "Sim"),"negada","aprovada")</f>
        <v>negada</v>
      </c>
      <c r="P38" s="12" t="str">
        <f>IF(AND(Tabela1[[#This Row],[credito_tomado]]&gt;50000,Tabela1[[#This Row],[flag_inadimplente]]="Sim"),"negada","aprovada")</f>
        <v>negada</v>
      </c>
      <c r="Q38" s="6">
        <v>97500</v>
      </c>
      <c r="R38" s="12" t="str" cm="1">
        <f t="array" ref="R3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" spans="1:18" ht="15.75" customHeight="1" x14ac:dyDescent="0.2">
      <c r="A39" s="2" t="s">
        <v>80</v>
      </c>
      <c r="B39" s="7" t="s">
        <v>185</v>
      </c>
      <c r="C39" s="1" t="s">
        <v>186</v>
      </c>
      <c r="D39" s="1" t="str">
        <f>TEXT(C39,"000\.000\.000\-00")</f>
        <v>000.000.041-00</v>
      </c>
      <c r="E39" s="2">
        <v>69</v>
      </c>
      <c r="F39" s="3" t="s">
        <v>83</v>
      </c>
      <c r="G39" s="2" t="s">
        <v>124</v>
      </c>
      <c r="H39" s="7" t="s">
        <v>139</v>
      </c>
      <c r="I39" s="7" t="str">
        <f>PROPER(Tabela1[[#This Row],[regiao]])</f>
        <v>Essos</v>
      </c>
      <c r="J39" s="8">
        <v>4500</v>
      </c>
      <c r="K39" s="9">
        <v>0</v>
      </c>
      <c r="L39" s="2" t="s">
        <v>101</v>
      </c>
      <c r="M39" s="2">
        <v>32</v>
      </c>
      <c r="N39" s="2" t="str" cm="1">
        <f t="array" ref="N39">_xlfn.IFS(Tabela1[[#This Row],[qtde_]]="N/A", "N/A",Tabela1[[#This Row],[qtde_]]&lt;11,"BAIXO",Tabela1[[#This Row],[qtde_]]&lt;26,"MÉDIO",Tabela1[[#This Row],[qtde_]]&gt;=26,"ALTO")</f>
        <v>ALTO</v>
      </c>
      <c r="O39" s="12" t="str">
        <f>IF(AND(Tabela1[[#This Row],[nivel_risco]]="ALTO",Tabela1[[#This Row],[flag_inadimplente]] = "Sim"),"negada","aprovada")</f>
        <v>negada</v>
      </c>
      <c r="P39" s="12" t="str">
        <f>IF(AND(Tabela1[[#This Row],[credito_tomado]]&gt;50000,Tabela1[[#This Row],[flag_inadimplente]]="Sim"),"negada","aprovada")</f>
        <v>aprovada</v>
      </c>
      <c r="Q39" s="6">
        <v>56500</v>
      </c>
      <c r="R39" s="12" t="e" cm="1">
        <f t="array" ref="R3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40" spans="1:18" ht="15.75" customHeight="1" x14ac:dyDescent="0.2">
      <c r="A40" s="2" t="s">
        <v>96</v>
      </c>
      <c r="B40" s="7" t="s">
        <v>187</v>
      </c>
      <c r="C40" s="1" t="s">
        <v>188</v>
      </c>
      <c r="D40" s="1" t="str">
        <f>TEXT(C40,"000\.000\.000\-00")</f>
        <v>000.000.020-00</v>
      </c>
      <c r="E40" s="2">
        <v>58</v>
      </c>
      <c r="F40" s="3">
        <v>25054</v>
      </c>
      <c r="G40" s="2" t="s">
        <v>89</v>
      </c>
      <c r="H40" s="7" t="s">
        <v>151</v>
      </c>
      <c r="I40" s="7" t="str">
        <f>PROPER(Tabela1[[#This Row],[regiao]])</f>
        <v>Terras Da Coroa</v>
      </c>
      <c r="J40" s="8">
        <v>4500</v>
      </c>
      <c r="K40" s="9">
        <v>20000</v>
      </c>
      <c r="L40" s="2" t="s">
        <v>101</v>
      </c>
      <c r="M40" s="2">
        <v>9</v>
      </c>
      <c r="N40" s="2" t="str" cm="1">
        <f t="array" ref="N40">_xlfn.IFS(Tabela1[[#This Row],[qtde_]]="N/A", "N/A",Tabela1[[#This Row],[qtde_]]&lt;11,"BAIXO",Tabela1[[#This Row],[qtde_]]&lt;26,"MÉDIO",Tabela1[[#This Row],[qtde_]]&gt;=26,"ALTO")</f>
        <v>BAIXO</v>
      </c>
      <c r="O40" s="12" t="str">
        <f>IF(AND(Tabela1[[#This Row],[nivel_risco]]="ALTO",Tabela1[[#This Row],[flag_inadimplente]] = "Sim"),"negada","aprovada")</f>
        <v>aprovada</v>
      </c>
      <c r="P40" s="12" t="str">
        <f>IF(AND(Tabela1[[#This Row],[credito_tomado]]&gt;50000,Tabela1[[#This Row],[flag_inadimplente]]="Sim"),"negada","aprovada")</f>
        <v>aprovada</v>
      </c>
      <c r="Q40" s="6">
        <v>49000</v>
      </c>
      <c r="R40" s="12" t="e" cm="1">
        <f t="array" ref="R4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41" spans="1:18" ht="15.75" customHeight="1" x14ac:dyDescent="0.2">
      <c r="A41" s="2" t="s">
        <v>80</v>
      </c>
      <c r="B41" s="7" t="s">
        <v>189</v>
      </c>
      <c r="C41" s="1">
        <v>36000</v>
      </c>
      <c r="D41" s="1" t="str">
        <f>TEXT(C41,"000\.000\.000\-00")</f>
        <v>000.000.360-00</v>
      </c>
      <c r="E41" s="2">
        <v>26</v>
      </c>
      <c r="F41" s="3">
        <v>36573</v>
      </c>
      <c r="G41" s="2" t="s">
        <v>190</v>
      </c>
      <c r="H41" s="7" t="s">
        <v>113</v>
      </c>
      <c r="I41" s="7" t="str">
        <f>PROPER(Tabela1[[#This Row],[regiao]])</f>
        <v>Norte</v>
      </c>
      <c r="J41" s="8">
        <v>4800</v>
      </c>
      <c r="K41" s="9">
        <v>48500</v>
      </c>
      <c r="L41" s="2" t="s">
        <v>101</v>
      </c>
      <c r="M41" s="2">
        <v>6</v>
      </c>
      <c r="N41" s="2" t="str" cm="1">
        <f t="array" ref="N41">_xlfn.IFS(Tabela1[[#This Row],[qtde_]]="N/A", "N/A",Tabela1[[#This Row],[qtde_]]&lt;11,"BAIXO",Tabela1[[#This Row],[qtde_]]&lt;26,"MÉDIO",Tabela1[[#This Row],[qtde_]]&gt;=26,"ALTO")</f>
        <v>BAIXO</v>
      </c>
      <c r="O41" s="12" t="str">
        <f>IF(AND(Tabela1[[#This Row],[nivel_risco]]="ALTO",Tabela1[[#This Row],[flag_inadimplente]] = "Sim"),"negada","aprovada")</f>
        <v>aprovada</v>
      </c>
      <c r="P41" s="12" t="str">
        <f>IF(AND(Tabela1[[#This Row],[credito_tomado]]&gt;50000,Tabela1[[#This Row],[flag_inadimplente]]="Sim"),"negada","aprovada")</f>
        <v>aprovada</v>
      </c>
      <c r="Q41" s="6">
        <v>56500</v>
      </c>
      <c r="R41" s="12" cm="1">
        <f t="array" ref="R4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4520</v>
      </c>
    </row>
    <row r="42" spans="1:18" ht="15.75" customHeight="1" x14ac:dyDescent="0.2">
      <c r="A42" s="2" t="s">
        <v>80</v>
      </c>
      <c r="B42" s="7" t="s">
        <v>191</v>
      </c>
      <c r="C42" s="1">
        <v>12700</v>
      </c>
      <c r="D42" s="1" t="str">
        <f>TEXT(C42,"000\.000\.000\-00")</f>
        <v>000.000.127-00</v>
      </c>
      <c r="E42" s="2">
        <v>26</v>
      </c>
      <c r="F42" s="3">
        <v>36518</v>
      </c>
      <c r="G42" s="2" t="s">
        <v>156</v>
      </c>
      <c r="H42" s="7" t="s">
        <v>113</v>
      </c>
      <c r="I42" s="7" t="str">
        <f>PROPER(Tabela1[[#This Row],[regiao]])</f>
        <v>Norte</v>
      </c>
      <c r="J42" s="8">
        <v>5000</v>
      </c>
      <c r="K42" s="9">
        <v>61500</v>
      </c>
      <c r="L42" s="2" t="s">
        <v>86</v>
      </c>
      <c r="M42" s="2">
        <v>35</v>
      </c>
      <c r="N42" s="2" t="str" cm="1">
        <f t="array" ref="N42">_xlfn.IFS(Tabela1[[#This Row],[qtde_]]="N/A", "N/A",Tabela1[[#This Row],[qtde_]]&lt;11,"BAIXO",Tabela1[[#This Row],[qtde_]]&lt;26,"MÉDIO",Tabela1[[#This Row],[qtde_]]&gt;=26,"ALTO")</f>
        <v>ALTO</v>
      </c>
      <c r="O42" s="12" t="str">
        <f>IF(AND(Tabela1[[#This Row],[nivel_risco]]="ALTO",Tabela1[[#This Row],[flag_inadimplente]] = "Sim"),"negada","aprovada")</f>
        <v>aprovada</v>
      </c>
      <c r="P42" s="12" t="str">
        <f>IF(AND(Tabela1[[#This Row],[credito_tomado]]&gt;50000,Tabela1[[#This Row],[flag_inadimplente]]="Sim"),"negada","aprovada")</f>
        <v>aprovada</v>
      </c>
      <c r="Q42" s="6">
        <v>18500</v>
      </c>
      <c r="R42" s="12" cm="1">
        <f t="array" ref="R4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1480</v>
      </c>
    </row>
    <row r="43" spans="1:18" ht="15.75" customHeight="1" x14ac:dyDescent="0.2">
      <c r="A43" s="2" t="s">
        <v>80</v>
      </c>
      <c r="B43" s="7" t="s">
        <v>192</v>
      </c>
      <c r="C43" s="1" t="s">
        <v>193</v>
      </c>
      <c r="D43" s="1" t="str">
        <f>TEXT(C43,"000\.000\.000\-00")</f>
        <v>000.000.111-00</v>
      </c>
      <c r="E43" s="2">
        <v>47</v>
      </c>
      <c r="F43" s="3">
        <v>29007</v>
      </c>
      <c r="G43" s="2" t="s">
        <v>138</v>
      </c>
      <c r="H43" s="7" t="s">
        <v>139</v>
      </c>
      <c r="I43" s="7" t="str">
        <f>PROPER(Tabela1[[#This Row],[regiao]])</f>
        <v>Essos</v>
      </c>
      <c r="J43" s="8">
        <v>5000</v>
      </c>
      <c r="K43" s="9">
        <v>75500</v>
      </c>
      <c r="L43" s="2" t="s">
        <v>101</v>
      </c>
      <c r="M43" s="2">
        <v>2</v>
      </c>
      <c r="N43" s="2" t="str" cm="1">
        <f t="array" ref="N43">_xlfn.IFS(Tabela1[[#This Row],[qtde_]]="N/A", "N/A",Tabela1[[#This Row],[qtde_]]&lt;11,"BAIXO",Tabela1[[#This Row],[qtde_]]&lt;26,"MÉDIO",Tabela1[[#This Row],[qtde_]]&gt;=26,"ALTO")</f>
        <v>BAIXO</v>
      </c>
      <c r="O43" s="12" t="str">
        <f>IF(AND(Tabela1[[#This Row],[nivel_risco]]="ALTO",Tabela1[[#This Row],[flag_inadimplente]] = "Sim"),"negada","aprovada")</f>
        <v>aprovada</v>
      </c>
      <c r="P43" s="12" t="str">
        <f>IF(AND(Tabela1[[#This Row],[credito_tomado]]&gt;50000,Tabela1[[#This Row],[flag_inadimplente]]="Sim"),"negada","aprovada")</f>
        <v>negada</v>
      </c>
      <c r="Q43" s="6">
        <v>89500</v>
      </c>
      <c r="R43" s="12" t="e" cm="1">
        <f t="array" ref="R4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44" spans="1:18" ht="15.75" customHeight="1" x14ac:dyDescent="0.2">
      <c r="A44" s="2" t="s">
        <v>80</v>
      </c>
      <c r="B44" s="7" t="s">
        <v>194</v>
      </c>
      <c r="C44" s="1" t="s">
        <v>195</v>
      </c>
      <c r="D44" s="1" t="str">
        <f>TEXT(C44,"000\.000\.000\-00")</f>
        <v>000.000.216-00</v>
      </c>
      <c r="E44" s="2">
        <v>34</v>
      </c>
      <c r="F44" s="3">
        <v>33835</v>
      </c>
      <c r="G44" s="2" t="s">
        <v>84</v>
      </c>
      <c r="H44" s="10" t="s">
        <v>85</v>
      </c>
      <c r="I44" s="10" t="str">
        <f>PROPER(Tabela1[[#This Row],[regiao]])</f>
        <v>Campina</v>
      </c>
      <c r="J44" s="8">
        <v>5100</v>
      </c>
      <c r="K44" s="9">
        <v>17000</v>
      </c>
      <c r="L44" s="2" t="s">
        <v>86</v>
      </c>
      <c r="M44" s="2">
        <v>3</v>
      </c>
      <c r="N44" s="2" t="str" cm="1">
        <f t="array" ref="N44">_xlfn.IFS(Tabela1[[#This Row],[qtde_]]="N/A", "N/A",Tabela1[[#This Row],[qtde_]]&lt;11,"BAIXO",Tabela1[[#This Row],[qtde_]]&lt;26,"MÉDIO",Tabela1[[#This Row],[qtde_]]&gt;=26,"ALTO")</f>
        <v>BAIXO</v>
      </c>
      <c r="O44" s="12" t="str">
        <f>IF(AND(Tabela1[[#This Row],[nivel_risco]]="ALTO",Tabela1[[#This Row],[flag_inadimplente]] = "Sim"),"negada","aprovada")</f>
        <v>aprovada</v>
      </c>
      <c r="P44" s="12" t="str">
        <f>IF(AND(Tabela1[[#This Row],[credito_tomado]]&gt;50000,Tabela1[[#This Row],[flag_inadimplente]]="Sim"),"negada","aprovada")</f>
        <v>aprovada</v>
      </c>
      <c r="Q44" s="6">
        <v>4500</v>
      </c>
      <c r="R44" s="12" cm="1">
        <f t="array" ref="R4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360</v>
      </c>
    </row>
    <row r="45" spans="1:18" ht="15.75" customHeight="1" x14ac:dyDescent="0.2">
      <c r="A45" s="2" t="s">
        <v>96</v>
      </c>
      <c r="B45" s="7" t="s">
        <v>196</v>
      </c>
      <c r="C45" s="1">
        <v>17100</v>
      </c>
      <c r="D45" s="1" t="str">
        <f>TEXT(C45,"000\.000\.000\-00")</f>
        <v>000.000.171-00</v>
      </c>
      <c r="E45" s="2">
        <v>45</v>
      </c>
      <c r="F45" s="3">
        <v>29506</v>
      </c>
      <c r="G45" s="2" t="s">
        <v>197</v>
      </c>
      <c r="H45" s="7" t="s">
        <v>105</v>
      </c>
      <c r="I45" s="7" t="str">
        <f>PROPER(Tabela1[[#This Row],[regiao]])</f>
        <v>Terras Da Tempestade</v>
      </c>
      <c r="J45" s="8">
        <v>5100</v>
      </c>
      <c r="K45" s="9">
        <v>25000</v>
      </c>
      <c r="L45" s="2" t="s">
        <v>86</v>
      </c>
      <c r="M45" s="2">
        <v>29</v>
      </c>
      <c r="N45" s="2" t="str" cm="1">
        <f t="array" ref="N45">_xlfn.IFS(Tabela1[[#This Row],[qtde_]]="N/A", "N/A",Tabela1[[#This Row],[qtde_]]&lt;11,"BAIXO",Tabela1[[#This Row],[qtde_]]&lt;26,"MÉDIO",Tabela1[[#This Row],[qtde_]]&gt;=26,"ALTO")</f>
        <v>ALTO</v>
      </c>
      <c r="O45" s="12" t="str">
        <f>IF(AND(Tabela1[[#This Row],[nivel_risco]]="ALTO",Tabela1[[#This Row],[flag_inadimplente]] = "Sim"),"negada","aprovada")</f>
        <v>aprovada</v>
      </c>
      <c r="P45" s="12" t="str">
        <f>IF(AND(Tabela1[[#This Row],[credito_tomado]]&gt;50000,Tabela1[[#This Row],[flag_inadimplente]]="Sim"),"negada","aprovada")</f>
        <v>aprovada</v>
      </c>
      <c r="Q45" s="6">
        <v>88000</v>
      </c>
      <c r="R45" s="12" t="e" cm="1">
        <f t="array" ref="R4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46" spans="1:18" ht="15.75" customHeight="1" x14ac:dyDescent="0.2">
      <c r="A46" s="2" t="s">
        <v>96</v>
      </c>
      <c r="B46" s="7" t="s">
        <v>198</v>
      </c>
      <c r="C46" s="1">
        <v>200</v>
      </c>
      <c r="D46" s="1" t="str">
        <f>TEXT(C46,"000\.000\.000\-00")</f>
        <v>000.000.002-00</v>
      </c>
      <c r="E46" s="2">
        <v>55</v>
      </c>
      <c r="F46" s="3">
        <v>25892</v>
      </c>
      <c r="G46" s="2" t="s">
        <v>104</v>
      </c>
      <c r="H46" s="7" t="s">
        <v>128</v>
      </c>
      <c r="I46" s="7" t="str">
        <f>PROPER(Tabela1[[#This Row],[regiao]])</f>
        <v>Terras Da Tempestade</v>
      </c>
      <c r="J46" s="8">
        <v>5300</v>
      </c>
      <c r="K46" s="9">
        <v>6500</v>
      </c>
      <c r="L46" s="2" t="s">
        <v>86</v>
      </c>
      <c r="M46" s="2">
        <v>42</v>
      </c>
      <c r="N46" s="2" t="str" cm="1">
        <f t="array" ref="N46">_xlfn.IFS(Tabela1[[#This Row],[qtde_]]="N/A", "N/A",Tabela1[[#This Row],[qtde_]]&lt;11,"BAIXO",Tabela1[[#This Row],[qtde_]]&lt;26,"MÉDIO",Tabela1[[#This Row],[qtde_]]&gt;=26,"ALTO")</f>
        <v>ALTO</v>
      </c>
      <c r="O46" s="12" t="str">
        <f>IF(AND(Tabela1[[#This Row],[nivel_risco]]="ALTO",Tabela1[[#This Row],[flag_inadimplente]] = "Sim"),"negada","aprovada")</f>
        <v>aprovada</v>
      </c>
      <c r="P46" s="12" t="str">
        <f>IF(AND(Tabela1[[#This Row],[credito_tomado]]&gt;50000,Tabela1[[#This Row],[flag_inadimplente]]="Sim"),"negada","aprovada")</f>
        <v>aprovada</v>
      </c>
      <c r="Q46" s="6">
        <v>96000</v>
      </c>
      <c r="R46" s="12" t="e" cm="1">
        <f t="array" ref="R4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47" spans="1:18" ht="15.75" customHeight="1" x14ac:dyDescent="0.2">
      <c r="A47" s="2" t="s">
        <v>80</v>
      </c>
      <c r="B47" s="7" t="s">
        <v>199</v>
      </c>
      <c r="C47" s="1" t="s">
        <v>200</v>
      </c>
      <c r="D47" s="1" t="str">
        <f>TEXT(C47,"000\.000\.000\-00")</f>
        <v>000.000.179-00</v>
      </c>
      <c r="E47" s="2">
        <v>44</v>
      </c>
      <c r="F47" s="3">
        <v>29975</v>
      </c>
      <c r="G47" s="2" t="s">
        <v>118</v>
      </c>
      <c r="H47" s="7" t="s">
        <v>201</v>
      </c>
      <c r="I47" s="7" t="str">
        <f>PROPER(Tabela1[[#This Row],[regiao]])</f>
        <v>Oeste</v>
      </c>
      <c r="J47" s="8">
        <v>5300</v>
      </c>
      <c r="K47" s="9">
        <v>6000</v>
      </c>
      <c r="L47" s="2" t="s">
        <v>101</v>
      </c>
      <c r="M47" s="2">
        <v>1</v>
      </c>
      <c r="N47" s="2" t="str" cm="1">
        <f t="array" ref="N47">_xlfn.IFS(Tabela1[[#This Row],[qtde_]]="N/A", "N/A",Tabela1[[#This Row],[qtde_]]&lt;11,"BAIXO",Tabela1[[#This Row],[qtde_]]&lt;26,"MÉDIO",Tabela1[[#This Row],[qtde_]]&gt;=26,"ALTO")</f>
        <v>BAIXO</v>
      </c>
      <c r="O47" s="12" t="str">
        <f>IF(AND(Tabela1[[#This Row],[nivel_risco]]="ALTO",Tabela1[[#This Row],[flag_inadimplente]] = "Sim"),"negada","aprovada")</f>
        <v>aprovada</v>
      </c>
      <c r="P47" s="12" t="str">
        <f>IF(AND(Tabela1[[#This Row],[credito_tomado]]&gt;50000,Tabela1[[#This Row],[flag_inadimplente]]="Sim"),"negada","aprovada")</f>
        <v>aprovada</v>
      </c>
      <c r="Q47" s="6">
        <v>4500</v>
      </c>
      <c r="R47" s="12" cm="1">
        <f t="array" ref="R4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360</v>
      </c>
    </row>
    <row r="48" spans="1:18" ht="15.75" customHeight="1" x14ac:dyDescent="0.2">
      <c r="A48" s="2" t="s">
        <v>80</v>
      </c>
      <c r="B48" s="7" t="s">
        <v>202</v>
      </c>
      <c r="C48" s="1" t="s">
        <v>203</v>
      </c>
      <c r="D48" s="1" t="str">
        <f>TEXT(C48,"000\.000\.000\-00")</f>
        <v>000.000.283-00</v>
      </c>
      <c r="E48" s="2">
        <v>27</v>
      </c>
      <c r="F48" s="3">
        <v>36308</v>
      </c>
      <c r="G48" s="2" t="s">
        <v>153</v>
      </c>
      <c r="H48" s="7" t="s">
        <v>141</v>
      </c>
      <c r="I48" s="7" t="str">
        <f>PROPER(Tabela1[[#This Row],[regiao]])</f>
        <v>Terras Fluviais</v>
      </c>
      <c r="J48" s="8">
        <v>5300</v>
      </c>
      <c r="K48" s="9">
        <v>22000</v>
      </c>
      <c r="L48" s="2" t="s">
        <v>86</v>
      </c>
      <c r="M48" s="2">
        <v>11</v>
      </c>
      <c r="N48" s="2" t="str" cm="1">
        <f t="array" ref="N48">_xlfn.IFS(Tabela1[[#This Row],[qtde_]]="N/A", "N/A",Tabela1[[#This Row],[qtde_]]&lt;11,"BAIXO",Tabela1[[#This Row],[qtde_]]&lt;26,"MÉDIO",Tabela1[[#This Row],[qtde_]]&gt;=26,"ALTO")</f>
        <v>MÉDIO</v>
      </c>
      <c r="O48" s="12" t="str">
        <f>IF(AND(Tabela1[[#This Row],[nivel_risco]]="ALTO",Tabela1[[#This Row],[flag_inadimplente]] = "Sim"),"negada","aprovada")</f>
        <v>aprovada</v>
      </c>
      <c r="P48" s="12" t="str">
        <f>IF(AND(Tabela1[[#This Row],[credito_tomado]]&gt;50000,Tabela1[[#This Row],[flag_inadimplente]]="Sim"),"negada","aprovada")</f>
        <v>aprovada</v>
      </c>
      <c r="Q48" s="6">
        <v>28500</v>
      </c>
      <c r="R48" s="12" cm="1">
        <f t="array" ref="R4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2280</v>
      </c>
    </row>
    <row r="49" spans="1:18" ht="15.75" customHeight="1" x14ac:dyDescent="0.2">
      <c r="A49" s="2" t="s">
        <v>80</v>
      </c>
      <c r="B49" s="7" t="s">
        <v>202</v>
      </c>
      <c r="C49" s="1" t="s">
        <v>203</v>
      </c>
      <c r="D49" s="1" t="str">
        <f>TEXT(C49,"000\.000\.000\-00")</f>
        <v>000.000.283-00</v>
      </c>
      <c r="E49" s="2">
        <v>27</v>
      </c>
      <c r="F49" s="3">
        <v>36308</v>
      </c>
      <c r="G49" s="2" t="s">
        <v>153</v>
      </c>
      <c r="H49" s="7" t="s">
        <v>141</v>
      </c>
      <c r="I49" s="7" t="str">
        <f>PROPER(Tabela1[[#This Row],[regiao]])</f>
        <v>Terras Fluviais</v>
      </c>
      <c r="J49" s="8">
        <v>5300</v>
      </c>
      <c r="K49" s="9">
        <v>22000</v>
      </c>
      <c r="L49" s="2" t="s">
        <v>86</v>
      </c>
      <c r="M49" s="2">
        <v>11</v>
      </c>
      <c r="N49" s="2" t="str" cm="1">
        <f t="array" ref="N49">_xlfn.IFS(Tabela1[[#This Row],[qtde_]]="N/A", "N/A",Tabela1[[#This Row],[qtde_]]&lt;11,"BAIXO",Tabela1[[#This Row],[qtde_]]&lt;26,"MÉDIO",Tabela1[[#This Row],[qtde_]]&gt;=26,"ALTO")</f>
        <v>MÉDIO</v>
      </c>
      <c r="O49" s="12" t="str">
        <f>IF(AND(Tabela1[[#This Row],[nivel_risco]]="ALTO",Tabela1[[#This Row],[flag_inadimplente]] = "Sim"),"negada","aprovada")</f>
        <v>aprovada</v>
      </c>
      <c r="P49" s="12" t="str">
        <f>IF(AND(Tabela1[[#This Row],[credito_tomado]]&gt;50000,Tabela1[[#This Row],[flag_inadimplente]]="Sim"),"negada","aprovada")</f>
        <v>aprovada</v>
      </c>
      <c r="Q49" s="6">
        <v>4500</v>
      </c>
      <c r="R49" s="12" cm="1">
        <f t="array" ref="R4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360</v>
      </c>
    </row>
    <row r="50" spans="1:18" ht="15.75" customHeight="1" x14ac:dyDescent="0.2">
      <c r="A50" s="2" t="s">
        <v>80</v>
      </c>
      <c r="B50" s="7" t="s">
        <v>204</v>
      </c>
      <c r="C50" s="1" t="s">
        <v>205</v>
      </c>
      <c r="D50" s="1" t="str">
        <f>TEXT(C50,"000\.000\.000\-00")</f>
        <v>000.000.097-00</v>
      </c>
      <c r="E50" s="2">
        <v>56</v>
      </c>
      <c r="F50" s="3">
        <v>25808</v>
      </c>
      <c r="G50" s="2" t="s">
        <v>206</v>
      </c>
      <c r="H50" s="7" t="s">
        <v>85</v>
      </c>
      <c r="I50" s="7" t="str">
        <f>PROPER(Tabela1[[#This Row],[regiao]])</f>
        <v>Campina</v>
      </c>
      <c r="J50" s="8">
        <v>5400</v>
      </c>
      <c r="K50" s="9">
        <v>61000</v>
      </c>
      <c r="L50" s="2" t="s">
        <v>86</v>
      </c>
      <c r="M50" s="2">
        <v>12</v>
      </c>
      <c r="N50" s="2" t="str" cm="1">
        <f t="array" ref="N50">_xlfn.IFS(Tabela1[[#This Row],[qtde_]]="N/A", "N/A",Tabela1[[#This Row],[qtde_]]&lt;11,"BAIXO",Tabela1[[#This Row],[qtde_]]&lt;26,"MÉDIO",Tabela1[[#This Row],[qtde_]]&gt;=26,"ALTO")</f>
        <v>MÉDIO</v>
      </c>
      <c r="O50" s="12" t="str">
        <f>IF(AND(Tabela1[[#This Row],[nivel_risco]]="ALTO",Tabela1[[#This Row],[flag_inadimplente]] = "Sim"),"negada","aprovada")</f>
        <v>aprovada</v>
      </c>
      <c r="P50" s="12" t="str">
        <f>IF(AND(Tabela1[[#This Row],[credito_tomado]]&gt;50000,Tabela1[[#This Row],[flag_inadimplente]]="Sim"),"negada","aprovada")</f>
        <v>aprovada</v>
      </c>
      <c r="Q50" s="6">
        <v>96500</v>
      </c>
      <c r="R50" s="12" cm="1">
        <f t="array" ref="R5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7720</v>
      </c>
    </row>
    <row r="51" spans="1:18" ht="15.75" customHeight="1" x14ac:dyDescent="0.2">
      <c r="A51" s="2" t="s">
        <v>80</v>
      </c>
      <c r="B51" s="7" t="s">
        <v>207</v>
      </c>
      <c r="C51" s="1" t="s">
        <v>208</v>
      </c>
      <c r="D51" s="1" t="str">
        <f>TEXT(C51,"000\.000\.000\-00")</f>
        <v>000.000.337-00</v>
      </c>
      <c r="E51" s="2">
        <v>44</v>
      </c>
      <c r="F51" s="3">
        <v>30167</v>
      </c>
      <c r="G51" s="2" t="s">
        <v>206</v>
      </c>
      <c r="I51" s="7" t="s">
        <v>83</v>
      </c>
      <c r="J51" s="8">
        <v>5500</v>
      </c>
      <c r="K51" s="9">
        <v>26000</v>
      </c>
      <c r="L51" s="2" t="s">
        <v>86</v>
      </c>
      <c r="M51" s="2">
        <v>30</v>
      </c>
      <c r="N51" s="2" t="str" cm="1">
        <f t="array" ref="N51">_xlfn.IFS(Tabela1[[#This Row],[qtde_]]="N/A", "N/A",Tabela1[[#This Row],[qtde_]]&lt;11,"BAIXO",Tabela1[[#This Row],[qtde_]]&lt;26,"MÉDIO",Tabela1[[#This Row],[qtde_]]&gt;=26,"ALTO")</f>
        <v>ALTO</v>
      </c>
      <c r="O51" s="12" t="str">
        <f>IF(AND(Tabela1[[#This Row],[nivel_risco]]="ALTO",Tabela1[[#This Row],[flag_inadimplente]] = "Sim"),"negada","aprovada")</f>
        <v>aprovada</v>
      </c>
      <c r="P51" s="12" t="str">
        <f>IF(AND(Tabela1[[#This Row],[credito_tomado]]&gt;50000,Tabela1[[#This Row],[flag_inadimplente]]="Sim"),"negada","aprovada")</f>
        <v>aprovada</v>
      </c>
      <c r="Q51" s="6">
        <v>64000</v>
      </c>
      <c r="R51" s="12" cm="1">
        <f t="array" ref="R5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5120</v>
      </c>
    </row>
    <row r="52" spans="1:18" ht="15.75" customHeight="1" x14ac:dyDescent="0.2">
      <c r="A52" s="2" t="s">
        <v>80</v>
      </c>
      <c r="B52" s="7" t="s">
        <v>209</v>
      </c>
      <c r="C52" s="1" t="s">
        <v>210</v>
      </c>
      <c r="D52" s="1" t="str">
        <f>TEXT(C52,"000\.000\.000\-00")</f>
        <v>000.000.307-00</v>
      </c>
      <c r="E52" s="2">
        <v>63</v>
      </c>
      <c r="F52" s="3">
        <v>22900</v>
      </c>
      <c r="G52" s="2" t="s">
        <v>115</v>
      </c>
      <c r="H52" s="7" t="s">
        <v>115</v>
      </c>
      <c r="I52" s="7" t="str">
        <f>PROPER(Tabela1[[#This Row],[regiao]])</f>
        <v>Dorne</v>
      </c>
      <c r="J52" s="8">
        <v>5500</v>
      </c>
      <c r="K52" s="9">
        <v>41000</v>
      </c>
      <c r="L52" s="2" t="s">
        <v>86</v>
      </c>
      <c r="M52" s="2">
        <v>2</v>
      </c>
      <c r="N52" s="2" t="str" cm="1">
        <f t="array" ref="N52">_xlfn.IFS(Tabela1[[#This Row],[qtde_]]="N/A", "N/A",Tabela1[[#This Row],[qtde_]]&lt;11,"BAIXO",Tabela1[[#This Row],[qtde_]]&lt;26,"MÉDIO",Tabela1[[#This Row],[qtde_]]&gt;=26,"ALTO")</f>
        <v>BAIXO</v>
      </c>
      <c r="O52" s="12" t="str">
        <f>IF(AND(Tabela1[[#This Row],[nivel_risco]]="ALTO",Tabela1[[#This Row],[flag_inadimplente]] = "Sim"),"negada","aprovada")</f>
        <v>aprovada</v>
      </c>
      <c r="P52" s="12" t="str">
        <f>IF(AND(Tabela1[[#This Row],[credito_tomado]]&gt;50000,Tabela1[[#This Row],[flag_inadimplente]]="Sim"),"negada","aprovada")</f>
        <v>aprovada</v>
      </c>
      <c r="Q52" s="6">
        <v>54500</v>
      </c>
      <c r="R52" s="12" cm="1">
        <f t="array" ref="R5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4360</v>
      </c>
    </row>
    <row r="53" spans="1:18" ht="15.75" customHeight="1" x14ac:dyDescent="0.2">
      <c r="A53" s="2" t="s">
        <v>80</v>
      </c>
      <c r="B53" s="7" t="s">
        <v>211</v>
      </c>
      <c r="C53" s="1" t="s">
        <v>212</v>
      </c>
      <c r="D53" s="1" t="str">
        <f>TEXT(C53,"000\.000\.000\-00")</f>
        <v>000.000.013-00</v>
      </c>
      <c r="E53" s="2">
        <v>60</v>
      </c>
      <c r="F53" s="3">
        <v>24202</v>
      </c>
      <c r="G53" s="2" t="s">
        <v>197</v>
      </c>
      <c r="H53" s="7" t="s">
        <v>105</v>
      </c>
      <c r="I53" s="7" t="str">
        <f>PROPER(Tabela1[[#This Row],[regiao]])</f>
        <v>Terras Da Tempestade</v>
      </c>
      <c r="J53" s="8">
        <v>5500</v>
      </c>
      <c r="K53" s="9">
        <v>0</v>
      </c>
      <c r="L53" s="2" t="s">
        <v>86</v>
      </c>
      <c r="M53" s="2">
        <v>26</v>
      </c>
      <c r="N53" s="2" t="str" cm="1">
        <f t="array" ref="N53">_xlfn.IFS(Tabela1[[#This Row],[qtde_]]="N/A", "N/A",Tabela1[[#This Row],[qtde_]]&lt;11,"BAIXO",Tabela1[[#This Row],[qtde_]]&lt;26,"MÉDIO",Tabela1[[#This Row],[qtde_]]&gt;=26,"ALTO")</f>
        <v>ALTO</v>
      </c>
      <c r="O53" s="12" t="str">
        <f>IF(AND(Tabela1[[#This Row],[nivel_risco]]="ALTO",Tabela1[[#This Row],[flag_inadimplente]] = "Sim"),"negada","aprovada")</f>
        <v>aprovada</v>
      </c>
      <c r="P53" s="12" t="str">
        <f>IF(AND(Tabela1[[#This Row],[credito_tomado]]&gt;50000,Tabela1[[#This Row],[flag_inadimplente]]="Sim"),"negada","aprovada")</f>
        <v>aprovada</v>
      </c>
      <c r="Q53" s="6">
        <v>52500</v>
      </c>
      <c r="R53" s="12" cm="1">
        <f t="array" ref="R5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4200</v>
      </c>
    </row>
    <row r="54" spans="1:18" ht="15.75" customHeight="1" x14ac:dyDescent="0.2">
      <c r="A54" s="2" t="s">
        <v>80</v>
      </c>
      <c r="B54" s="7" t="s">
        <v>213</v>
      </c>
      <c r="C54" s="1" t="s">
        <v>214</v>
      </c>
      <c r="D54" s="1" t="str">
        <f>TEXT(C54,"000\.000\.000\-00")</f>
        <v>000.000.044-00</v>
      </c>
      <c r="E54" s="2">
        <v>42</v>
      </c>
      <c r="F54" s="3">
        <v>30666</v>
      </c>
      <c r="G54" s="2" t="s">
        <v>215</v>
      </c>
      <c r="H54" s="7" t="s">
        <v>53</v>
      </c>
      <c r="I54" s="7" t="str">
        <f>PROPER(Tabela1[[#This Row],[regiao]])</f>
        <v>Terras Da Coroa</v>
      </c>
      <c r="J54" s="8">
        <v>6000</v>
      </c>
      <c r="K54" s="9">
        <v>55000</v>
      </c>
      <c r="L54" s="2" t="s">
        <v>86</v>
      </c>
      <c r="M54" s="2">
        <v>5</v>
      </c>
      <c r="N54" s="2" t="str" cm="1">
        <f t="array" ref="N54">_xlfn.IFS(Tabela1[[#This Row],[qtde_]]="N/A", "N/A",Tabela1[[#This Row],[qtde_]]&lt;11,"BAIXO",Tabela1[[#This Row],[qtde_]]&lt;26,"MÉDIO",Tabela1[[#This Row],[qtde_]]&gt;=26,"ALTO")</f>
        <v>BAIXO</v>
      </c>
      <c r="O54" s="12" t="str">
        <f>IF(AND(Tabela1[[#This Row],[nivel_risco]]="ALTO",Tabela1[[#This Row],[flag_inadimplente]] = "Sim"),"negada","aprovada")</f>
        <v>aprovada</v>
      </c>
      <c r="P54" s="12" t="str">
        <f>IF(AND(Tabela1[[#This Row],[credito_tomado]]&gt;50000,Tabela1[[#This Row],[flag_inadimplente]]="Sim"),"negada","aprovada")</f>
        <v>aprovada</v>
      </c>
      <c r="Q54" s="6">
        <v>10000</v>
      </c>
      <c r="R54" s="12" cm="1">
        <f t="array" ref="R5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800</v>
      </c>
    </row>
    <row r="55" spans="1:18" ht="15.75" customHeight="1" x14ac:dyDescent="0.2">
      <c r="A55" s="2" t="s">
        <v>80</v>
      </c>
      <c r="B55" s="7" t="s">
        <v>216</v>
      </c>
      <c r="C55" s="1" t="s">
        <v>217</v>
      </c>
      <c r="D55" s="1" t="str">
        <f>TEXT(C55,"000\.000\.000\-00")</f>
        <v>000.000.066-00</v>
      </c>
      <c r="E55" s="2">
        <v>24</v>
      </c>
      <c r="F55" s="3">
        <v>37435</v>
      </c>
      <c r="G55" s="2" t="s">
        <v>108</v>
      </c>
      <c r="H55" s="7" t="s">
        <v>130</v>
      </c>
      <c r="I55" s="7" t="str">
        <f>PROPER(Tabela1[[#This Row],[regiao]])</f>
        <v>Gargalo</v>
      </c>
      <c r="J55" s="8">
        <v>6100</v>
      </c>
      <c r="K55" s="9" t="s">
        <v>83</v>
      </c>
      <c r="L55" s="2" t="s">
        <v>86</v>
      </c>
      <c r="M55" s="2">
        <v>15</v>
      </c>
      <c r="N55" s="2" t="str" cm="1">
        <f t="array" ref="N55">_xlfn.IFS(Tabela1[[#This Row],[qtde_]]="N/A", "N/A",Tabela1[[#This Row],[qtde_]]&lt;11,"BAIXO",Tabela1[[#This Row],[qtde_]]&lt;26,"MÉDIO",Tabela1[[#This Row],[qtde_]]&gt;=26,"ALTO")</f>
        <v>MÉDIO</v>
      </c>
      <c r="O55" s="12" t="str">
        <f>IF(AND(Tabela1[[#This Row],[nivel_risco]]="ALTO",Tabela1[[#This Row],[flag_inadimplente]] = "Sim"),"negada","aprovada")</f>
        <v>aprovada</v>
      </c>
      <c r="P55" s="12" t="str">
        <f>IF(AND(Tabela1[[#This Row],[credito_tomado]]&gt;50000,Tabela1[[#This Row],[flag_inadimplente]]="Sim"),"negada","aprovada")</f>
        <v>aprovada</v>
      </c>
      <c r="Q55" s="6">
        <v>67000</v>
      </c>
      <c r="R55" s="12" t="str" cm="1">
        <f t="array" ref="R5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56" spans="1:18" ht="15.75" customHeight="1" x14ac:dyDescent="0.2">
      <c r="A56" s="2" t="s">
        <v>80</v>
      </c>
      <c r="B56" s="7" t="s">
        <v>218</v>
      </c>
      <c r="C56" s="1" t="s">
        <v>219</v>
      </c>
      <c r="D56" s="1" t="str">
        <f>TEXT(C56,"000\.000\.000\-00")</f>
        <v>000.000.181-00</v>
      </c>
      <c r="E56" s="2">
        <v>73</v>
      </c>
      <c r="F56" s="3">
        <v>19314</v>
      </c>
      <c r="G56" s="2" t="s">
        <v>215</v>
      </c>
      <c r="H56" s="7" t="s">
        <v>220</v>
      </c>
      <c r="I56" s="7" t="str">
        <f>PROPER(Tabela1[[#This Row],[regiao]])</f>
        <v>Terras Da Coroa</v>
      </c>
      <c r="J56" s="8">
        <v>6100</v>
      </c>
      <c r="K56" s="9">
        <v>16000</v>
      </c>
      <c r="L56" s="2" t="s">
        <v>86</v>
      </c>
      <c r="M56" s="2">
        <v>9</v>
      </c>
      <c r="N56" s="2" t="str" cm="1">
        <f t="array" ref="N56">_xlfn.IFS(Tabela1[[#This Row],[qtde_]]="N/A", "N/A",Tabela1[[#This Row],[qtde_]]&lt;11,"BAIXO",Tabela1[[#This Row],[qtde_]]&lt;26,"MÉDIO",Tabela1[[#This Row],[qtde_]]&gt;=26,"ALTO")</f>
        <v>BAIXO</v>
      </c>
      <c r="O56" s="12" t="str">
        <f>IF(AND(Tabela1[[#This Row],[nivel_risco]]="ALTO",Tabela1[[#This Row],[flag_inadimplente]] = "Sim"),"negada","aprovada")</f>
        <v>aprovada</v>
      </c>
      <c r="P56" s="12" t="str">
        <f>IF(AND(Tabela1[[#This Row],[credito_tomado]]&gt;50000,Tabela1[[#This Row],[flag_inadimplente]]="Sim"),"negada","aprovada")</f>
        <v>aprovada</v>
      </c>
      <c r="Q56" s="6">
        <v>24500</v>
      </c>
      <c r="R56" s="12" cm="1">
        <f t="array" ref="R5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1960</v>
      </c>
    </row>
    <row r="57" spans="1:18" ht="15.75" customHeight="1" x14ac:dyDescent="0.2">
      <c r="A57" s="2" t="s">
        <v>80</v>
      </c>
      <c r="B57" s="7" t="s">
        <v>221</v>
      </c>
      <c r="C57" s="1" t="s">
        <v>222</v>
      </c>
      <c r="D57" s="1" t="str">
        <f>TEXT(C57,"000\.000\.000\-00")</f>
        <v>000.000.112-00</v>
      </c>
      <c r="E57" s="2">
        <v>65</v>
      </c>
      <c r="F57" s="3">
        <v>22314</v>
      </c>
      <c r="G57" s="2" t="s">
        <v>104</v>
      </c>
      <c r="H57" s="7" t="s">
        <v>223</v>
      </c>
      <c r="I57" s="7" t="str">
        <f>PROPER(Tabela1[[#This Row],[regiao]])</f>
        <v>Terras Da Tempestade</v>
      </c>
      <c r="J57" s="8">
        <v>6100</v>
      </c>
      <c r="K57" s="9">
        <v>40000</v>
      </c>
      <c r="L57" s="2" t="s">
        <v>86</v>
      </c>
      <c r="M57" s="2">
        <v>13</v>
      </c>
      <c r="N57" s="2" t="str" cm="1">
        <f t="array" ref="N57">_xlfn.IFS(Tabela1[[#This Row],[qtde_]]="N/A", "N/A",Tabela1[[#This Row],[qtde_]]&lt;11,"BAIXO",Tabela1[[#This Row],[qtde_]]&lt;26,"MÉDIO",Tabela1[[#This Row],[qtde_]]&gt;=26,"ALTO")</f>
        <v>MÉDIO</v>
      </c>
      <c r="O57" s="12" t="str">
        <f>IF(AND(Tabela1[[#This Row],[nivel_risco]]="ALTO",Tabela1[[#This Row],[flag_inadimplente]] = "Sim"),"negada","aprovada")</f>
        <v>aprovada</v>
      </c>
      <c r="P57" s="12" t="str">
        <f>IF(AND(Tabela1[[#This Row],[credito_tomado]]&gt;50000,Tabela1[[#This Row],[flag_inadimplente]]="Sim"),"negada","aprovada")</f>
        <v>aprovada</v>
      </c>
      <c r="Q57" s="6">
        <v>22500</v>
      </c>
      <c r="R57" s="12" cm="1">
        <f t="array" ref="R5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1800</v>
      </c>
    </row>
    <row r="58" spans="1:18" ht="15.75" customHeight="1" x14ac:dyDescent="0.2">
      <c r="A58" s="2" t="s">
        <v>96</v>
      </c>
      <c r="B58" s="7" t="s">
        <v>224</v>
      </c>
      <c r="C58" s="1" t="s">
        <v>225</v>
      </c>
      <c r="D58" s="1" t="str">
        <f>TEXT(C58,"000\.000\.000\-00")</f>
        <v>000.000.138-00</v>
      </c>
      <c r="E58" s="2">
        <v>59</v>
      </c>
      <c r="F58" s="3">
        <v>24512</v>
      </c>
      <c r="G58" s="2" t="s">
        <v>121</v>
      </c>
      <c r="H58" s="7" t="s">
        <v>226</v>
      </c>
      <c r="I58" s="7" t="str">
        <f>PROPER(Tabela1[[#This Row],[regiao]])</f>
        <v>Campina</v>
      </c>
      <c r="J58" s="8">
        <v>6300</v>
      </c>
      <c r="K58" s="9">
        <v>15000</v>
      </c>
      <c r="L58" s="2" t="s">
        <v>86</v>
      </c>
      <c r="M58" s="2">
        <v>42</v>
      </c>
      <c r="N58" s="2" t="str" cm="1">
        <f t="array" ref="N58">_xlfn.IFS(Tabela1[[#This Row],[qtde_]]="N/A", "N/A",Tabela1[[#This Row],[qtde_]]&lt;11,"BAIXO",Tabela1[[#This Row],[qtde_]]&lt;26,"MÉDIO",Tabela1[[#This Row],[qtde_]]&gt;=26,"ALTO")</f>
        <v>ALTO</v>
      </c>
      <c r="O58" s="12" t="str">
        <f>IF(AND(Tabela1[[#This Row],[nivel_risco]]="ALTO",Tabela1[[#This Row],[flag_inadimplente]] = "Sim"),"negada","aprovada")</f>
        <v>aprovada</v>
      </c>
      <c r="P58" s="12" t="str">
        <f>IF(AND(Tabela1[[#This Row],[credito_tomado]]&gt;50000,Tabela1[[#This Row],[flag_inadimplente]]="Sim"),"negada","aprovada")</f>
        <v>aprovada</v>
      </c>
      <c r="Q58" s="6">
        <v>8500</v>
      </c>
      <c r="R58" s="12" t="e" cm="1">
        <f t="array" ref="R5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59" spans="1:18" ht="15.75" customHeight="1" x14ac:dyDescent="0.2">
      <c r="A59" s="2" t="s">
        <v>80</v>
      </c>
      <c r="B59" s="7" t="s">
        <v>227</v>
      </c>
      <c r="C59" s="1">
        <v>37000</v>
      </c>
      <c r="D59" s="1" t="str">
        <f>TEXT(C59,"000\.000\.000\-00")</f>
        <v>000.000.370-00</v>
      </c>
      <c r="E59" s="2">
        <v>24</v>
      </c>
      <c r="F59" s="3">
        <v>37290</v>
      </c>
      <c r="G59" s="2" t="s">
        <v>84</v>
      </c>
      <c r="H59" s="7" t="s">
        <v>122</v>
      </c>
      <c r="I59" s="7" t="str">
        <f>PROPER(Tabela1[[#This Row],[regiao]])</f>
        <v>Campina</v>
      </c>
      <c r="J59" s="8">
        <v>6400</v>
      </c>
      <c r="K59" s="9">
        <v>41000</v>
      </c>
      <c r="L59" s="2" t="s">
        <v>86</v>
      </c>
      <c r="M59" s="2">
        <v>22</v>
      </c>
      <c r="N59" s="2" t="str" cm="1">
        <f t="array" ref="N59">_xlfn.IFS(Tabela1[[#This Row],[qtde_]]="N/A", "N/A",Tabela1[[#This Row],[qtde_]]&lt;11,"BAIXO",Tabela1[[#This Row],[qtde_]]&lt;26,"MÉDIO",Tabela1[[#This Row],[qtde_]]&gt;=26,"ALTO")</f>
        <v>MÉDIO</v>
      </c>
      <c r="O59" s="12" t="str">
        <f>IF(AND(Tabela1[[#This Row],[nivel_risco]]="ALTO",Tabela1[[#This Row],[flag_inadimplente]] = "Sim"),"negada","aprovada")</f>
        <v>aprovada</v>
      </c>
      <c r="P59" s="12" t="str">
        <f>IF(AND(Tabela1[[#This Row],[credito_tomado]]&gt;50000,Tabela1[[#This Row],[flag_inadimplente]]="Sim"),"negada","aprovada")</f>
        <v>aprovada</v>
      </c>
      <c r="Q59" s="6">
        <v>74500</v>
      </c>
      <c r="R59" s="12" cm="1">
        <f t="array" ref="R5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5960</v>
      </c>
    </row>
    <row r="60" spans="1:18" ht="15.75" customHeight="1" x14ac:dyDescent="0.2">
      <c r="A60" s="2" t="s">
        <v>96</v>
      </c>
      <c r="B60" s="7" t="s">
        <v>228</v>
      </c>
      <c r="C60" s="1" t="s">
        <v>229</v>
      </c>
      <c r="D60" s="1" t="str">
        <f>TEXT(C60,"000\.000\.000\-00")</f>
        <v>000.000.094-00</v>
      </c>
      <c r="E60" s="2">
        <v>52</v>
      </c>
      <c r="F60" s="3">
        <v>27186</v>
      </c>
      <c r="G60" s="2" t="s">
        <v>104</v>
      </c>
      <c r="H60" s="7" t="s">
        <v>230</v>
      </c>
      <c r="I60" s="7" t="str">
        <f>PROPER(Tabela1[[#This Row],[regiao]])</f>
        <v>Terras Da Tempestade</v>
      </c>
      <c r="J60" s="8">
        <v>6400</v>
      </c>
      <c r="K60" s="9">
        <v>37000</v>
      </c>
      <c r="L60" s="2" t="s">
        <v>86</v>
      </c>
      <c r="M60" s="2">
        <v>1</v>
      </c>
      <c r="N60" s="2" t="str" cm="1">
        <f t="array" ref="N60">_xlfn.IFS(Tabela1[[#This Row],[qtde_]]="N/A", "N/A",Tabela1[[#This Row],[qtde_]]&lt;11,"BAIXO",Tabela1[[#This Row],[qtde_]]&lt;26,"MÉDIO",Tabela1[[#This Row],[qtde_]]&gt;=26,"ALTO")</f>
        <v>BAIXO</v>
      </c>
      <c r="O60" s="12" t="str">
        <f>IF(AND(Tabela1[[#This Row],[nivel_risco]]="ALTO",Tabela1[[#This Row],[flag_inadimplente]] = "Sim"),"negada","aprovada")</f>
        <v>aprovada</v>
      </c>
      <c r="P60" s="12" t="str">
        <f>IF(AND(Tabela1[[#This Row],[credito_tomado]]&gt;50000,Tabela1[[#This Row],[flag_inadimplente]]="Sim"),"negada","aprovada")</f>
        <v>aprovada</v>
      </c>
      <c r="Q60" s="6">
        <v>87000</v>
      </c>
      <c r="R60" s="12" t="e" cm="1">
        <f t="array" ref="R6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61" spans="1:18" ht="15.75" customHeight="1" x14ac:dyDescent="0.2">
      <c r="A61" s="2" t="s">
        <v>80</v>
      </c>
      <c r="B61" s="7" t="s">
        <v>231</v>
      </c>
      <c r="C61" s="1" t="s">
        <v>232</v>
      </c>
      <c r="D61" s="1" t="str">
        <f>TEXT(C61,"000\.000\.000\-00")</f>
        <v>000.000.374-00</v>
      </c>
      <c r="E61" s="2">
        <v>67</v>
      </c>
      <c r="F61" s="3">
        <v>21573</v>
      </c>
      <c r="G61" s="2" t="s">
        <v>108</v>
      </c>
      <c r="H61" s="7" t="s">
        <v>130</v>
      </c>
      <c r="I61" s="7" t="str">
        <f>PROPER(Tabela1[[#This Row],[regiao]])</f>
        <v>Gargalo</v>
      </c>
      <c r="J61" s="8">
        <v>6400</v>
      </c>
      <c r="K61" s="9">
        <v>1000</v>
      </c>
      <c r="L61" s="2" t="s">
        <v>86</v>
      </c>
      <c r="M61" s="2">
        <v>27</v>
      </c>
      <c r="N61" s="2" t="str" cm="1">
        <f t="array" ref="N61">_xlfn.IFS(Tabela1[[#This Row],[qtde_]]="N/A", "N/A",Tabela1[[#This Row],[qtde_]]&lt;11,"BAIXO",Tabela1[[#This Row],[qtde_]]&lt;26,"MÉDIO",Tabela1[[#This Row],[qtde_]]&gt;=26,"ALTO")</f>
        <v>ALTO</v>
      </c>
      <c r="O61" s="12" t="str">
        <f>IF(AND(Tabela1[[#This Row],[nivel_risco]]="ALTO",Tabela1[[#This Row],[flag_inadimplente]] = "Sim"),"negada","aprovada")</f>
        <v>aprovada</v>
      </c>
      <c r="P61" s="12" t="str">
        <f>IF(AND(Tabela1[[#This Row],[credito_tomado]]&gt;50000,Tabela1[[#This Row],[flag_inadimplente]]="Sim"),"negada","aprovada")</f>
        <v>aprovada</v>
      </c>
      <c r="Q61" s="6">
        <v>50000</v>
      </c>
      <c r="R61" s="12" cm="1">
        <f t="array" ref="R6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4000</v>
      </c>
    </row>
    <row r="62" spans="1:18" ht="15.75" customHeight="1" x14ac:dyDescent="0.2">
      <c r="A62" s="2" t="s">
        <v>80</v>
      </c>
      <c r="B62" s="7" t="s">
        <v>233</v>
      </c>
      <c r="C62" s="1" t="s">
        <v>234</v>
      </c>
      <c r="D62" s="1" t="str">
        <f>TEXT(C62,"000\.000\.000\-00")</f>
        <v>000.000.120-00</v>
      </c>
      <c r="E62" s="2">
        <v>29</v>
      </c>
      <c r="F62" s="3">
        <v>35392</v>
      </c>
      <c r="G62" s="2" t="s">
        <v>108</v>
      </c>
      <c r="I62" s="7" t="s">
        <v>83</v>
      </c>
      <c r="J62" s="8">
        <v>6400</v>
      </c>
      <c r="K62" s="9">
        <v>19500</v>
      </c>
      <c r="L62" s="2" t="s">
        <v>86</v>
      </c>
      <c r="M62" s="2">
        <v>30</v>
      </c>
      <c r="N62" s="2" t="str" cm="1">
        <f t="array" ref="N62">_xlfn.IFS(Tabela1[[#This Row],[qtde_]]="N/A", "N/A",Tabela1[[#This Row],[qtde_]]&lt;11,"BAIXO",Tabela1[[#This Row],[qtde_]]&lt;26,"MÉDIO",Tabela1[[#This Row],[qtde_]]&gt;=26,"ALTO")</f>
        <v>ALTO</v>
      </c>
      <c r="O62" s="12" t="str">
        <f>IF(AND(Tabela1[[#This Row],[nivel_risco]]="ALTO",Tabela1[[#This Row],[flag_inadimplente]] = "Sim"),"negada","aprovada")</f>
        <v>aprovada</v>
      </c>
      <c r="P62" s="12" t="str">
        <f>IF(AND(Tabela1[[#This Row],[credito_tomado]]&gt;50000,Tabela1[[#This Row],[flag_inadimplente]]="Sim"),"negada","aprovada")</f>
        <v>aprovada</v>
      </c>
      <c r="Q62" s="6">
        <v>51000</v>
      </c>
      <c r="R62" s="12" cm="1">
        <f t="array" ref="R6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4080</v>
      </c>
    </row>
    <row r="63" spans="1:18" ht="15.75" customHeight="1" x14ac:dyDescent="0.2">
      <c r="A63" s="2" t="s">
        <v>80</v>
      </c>
      <c r="B63" s="7" t="s">
        <v>235</v>
      </c>
      <c r="C63" s="1" t="s">
        <v>236</v>
      </c>
      <c r="D63" s="1" t="str">
        <f>TEXT(C63,"000\.000\.000\-00")</f>
        <v>000.000.379-00</v>
      </c>
      <c r="E63" s="2">
        <v>59</v>
      </c>
      <c r="F63" s="3">
        <v>24578</v>
      </c>
      <c r="G63" s="2" t="s">
        <v>108</v>
      </c>
      <c r="I63" s="7" t="s">
        <v>83</v>
      </c>
      <c r="J63" s="8">
        <v>6600</v>
      </c>
      <c r="K63" s="9">
        <v>50000</v>
      </c>
      <c r="L63" s="2" t="s">
        <v>101</v>
      </c>
      <c r="M63" s="2">
        <v>9</v>
      </c>
      <c r="N63" s="2" t="str" cm="1">
        <f t="array" ref="N63">_xlfn.IFS(Tabela1[[#This Row],[qtde_]]="N/A", "N/A",Tabela1[[#This Row],[qtde_]]&lt;11,"BAIXO",Tabela1[[#This Row],[qtde_]]&lt;26,"MÉDIO",Tabela1[[#This Row],[qtde_]]&gt;=26,"ALTO")</f>
        <v>BAIXO</v>
      </c>
      <c r="O63" s="12" t="str">
        <f>IF(AND(Tabela1[[#This Row],[nivel_risco]]="ALTO",Tabela1[[#This Row],[flag_inadimplente]] = "Sim"),"negada","aprovada")</f>
        <v>aprovada</v>
      </c>
      <c r="P63" s="12" t="str">
        <f>IF(AND(Tabela1[[#This Row],[credito_tomado]]&gt;50000,Tabela1[[#This Row],[flag_inadimplente]]="Sim"),"negada","aprovada")</f>
        <v>aprovada</v>
      </c>
      <c r="Q63" s="6">
        <v>25000</v>
      </c>
      <c r="R63" s="12" cm="1">
        <f t="array" ref="R6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2000</v>
      </c>
    </row>
    <row r="64" spans="1:18" ht="15.75" customHeight="1" x14ac:dyDescent="0.2">
      <c r="A64" s="2" t="s">
        <v>80</v>
      </c>
      <c r="B64" s="7" t="s">
        <v>237</v>
      </c>
      <c r="C64" s="1" t="s">
        <v>200</v>
      </c>
      <c r="D64" s="1" t="str">
        <f>TEXT(C64,"000\.000\.000\-00")</f>
        <v>000.000.179-00</v>
      </c>
      <c r="E64" s="2">
        <v>44</v>
      </c>
      <c r="F64" s="3">
        <v>29991</v>
      </c>
      <c r="G64" s="2" t="s">
        <v>89</v>
      </c>
      <c r="I64" s="7" t="s">
        <v>83</v>
      </c>
      <c r="J64" s="8">
        <v>6700</v>
      </c>
      <c r="K64" s="9">
        <v>16500</v>
      </c>
      <c r="L64" s="2" t="s">
        <v>101</v>
      </c>
      <c r="M64" s="2">
        <v>38</v>
      </c>
      <c r="N64" s="2" t="str" cm="1">
        <f t="array" ref="N64">_xlfn.IFS(Tabela1[[#This Row],[qtde_]]="N/A", "N/A",Tabela1[[#This Row],[qtde_]]&lt;11,"BAIXO",Tabela1[[#This Row],[qtde_]]&lt;26,"MÉDIO",Tabela1[[#This Row],[qtde_]]&gt;=26,"ALTO")</f>
        <v>ALTO</v>
      </c>
      <c r="O64" s="12" t="str">
        <f>IF(AND(Tabela1[[#This Row],[nivel_risco]]="ALTO",Tabela1[[#This Row],[flag_inadimplente]] = "Sim"),"negada","aprovada")</f>
        <v>negada</v>
      </c>
      <c r="P64" s="12" t="str">
        <f>IF(AND(Tabela1[[#This Row],[credito_tomado]]&gt;50000,Tabela1[[#This Row],[flag_inadimplente]]="Sim"),"negada","aprovada")</f>
        <v>aprovada</v>
      </c>
      <c r="Q64" s="6">
        <v>15500</v>
      </c>
      <c r="R64" s="12" t="e" cm="1">
        <f t="array" ref="R6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65" spans="1:18" ht="15.75" customHeight="1" x14ac:dyDescent="0.2">
      <c r="A65" s="2" t="s">
        <v>96</v>
      </c>
      <c r="B65" s="7" t="s">
        <v>238</v>
      </c>
      <c r="C65" s="1">
        <v>27100</v>
      </c>
      <c r="D65" s="1" t="str">
        <f>TEXT(C65,"000\.000\.000\-00")</f>
        <v>000.000.271-00</v>
      </c>
      <c r="E65" s="2">
        <v>55</v>
      </c>
      <c r="F65" s="3">
        <v>25895</v>
      </c>
      <c r="G65" s="2" t="s">
        <v>138</v>
      </c>
      <c r="H65" s="7" t="s">
        <v>139</v>
      </c>
      <c r="I65" s="7" t="str">
        <f>PROPER(Tabela1[[#This Row],[regiao]])</f>
        <v>Essos</v>
      </c>
      <c r="J65" s="8">
        <v>6800</v>
      </c>
      <c r="K65" s="9">
        <v>12000</v>
      </c>
      <c r="L65" s="2" t="s">
        <v>86</v>
      </c>
      <c r="M65" s="2">
        <v>6</v>
      </c>
      <c r="N65" s="2" t="str" cm="1">
        <f t="array" ref="N65">_xlfn.IFS(Tabela1[[#This Row],[qtde_]]="N/A", "N/A",Tabela1[[#This Row],[qtde_]]&lt;11,"BAIXO",Tabela1[[#This Row],[qtde_]]&lt;26,"MÉDIO",Tabela1[[#This Row],[qtde_]]&gt;=26,"ALTO")</f>
        <v>BAIXO</v>
      </c>
      <c r="O65" s="12" t="str">
        <f>IF(AND(Tabela1[[#This Row],[nivel_risco]]="ALTO",Tabela1[[#This Row],[flag_inadimplente]] = "Sim"),"negada","aprovada")</f>
        <v>aprovada</v>
      </c>
      <c r="P65" s="12" t="str">
        <f>IF(AND(Tabela1[[#This Row],[credito_tomado]]&gt;50000,Tabela1[[#This Row],[flag_inadimplente]]="Sim"),"negada","aprovada")</f>
        <v>aprovada</v>
      </c>
      <c r="Q65" s="6">
        <v>11000</v>
      </c>
      <c r="R65" s="12" t="e" cm="1">
        <f t="array" ref="R6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66" spans="1:18" ht="15.75" customHeight="1" x14ac:dyDescent="0.2">
      <c r="A66" s="2" t="s">
        <v>96</v>
      </c>
      <c r="B66" s="7" t="s">
        <v>239</v>
      </c>
      <c r="C66" s="1">
        <v>32500</v>
      </c>
      <c r="D66" s="1" t="str">
        <f>TEXT(C66,"000\.000\.000\-00")</f>
        <v>000.000.325-00</v>
      </c>
      <c r="E66" s="2">
        <v>48</v>
      </c>
      <c r="F66" s="3">
        <v>28446</v>
      </c>
      <c r="G66" s="2" t="s">
        <v>215</v>
      </c>
      <c r="H66" s="7" t="s">
        <v>53</v>
      </c>
      <c r="I66" s="7" t="str">
        <f>PROPER(Tabela1[[#This Row],[regiao]])</f>
        <v>Terras Da Coroa</v>
      </c>
      <c r="J66" s="8">
        <v>6900</v>
      </c>
      <c r="K66" s="9">
        <v>52500</v>
      </c>
      <c r="L66" s="2" t="s">
        <v>101</v>
      </c>
      <c r="M66" s="2">
        <v>0</v>
      </c>
      <c r="N66" s="2" t="str" cm="1">
        <f t="array" ref="N66">_xlfn.IFS(Tabela1[[#This Row],[qtde_]]="N/A", "N/A",Tabela1[[#This Row],[qtde_]]&lt;11,"BAIXO",Tabela1[[#This Row],[qtde_]]&lt;26,"MÉDIO",Tabela1[[#This Row],[qtde_]]&gt;=26,"ALTO")</f>
        <v>BAIXO</v>
      </c>
      <c r="O66" s="12" t="str">
        <f>IF(AND(Tabela1[[#This Row],[nivel_risco]]="ALTO",Tabela1[[#This Row],[flag_inadimplente]] = "Sim"),"negada","aprovada")</f>
        <v>aprovada</v>
      </c>
      <c r="P66" s="12" t="str">
        <f>IF(AND(Tabela1[[#This Row],[credito_tomado]]&gt;50000,Tabela1[[#This Row],[flag_inadimplente]]="Sim"),"negada","aprovada")</f>
        <v>negada</v>
      </c>
      <c r="Q66" s="6">
        <v>66000</v>
      </c>
      <c r="R66" s="12" t="e" cm="1">
        <f t="array" ref="R6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67" spans="1:18" ht="15.75" customHeight="1" x14ac:dyDescent="0.2">
      <c r="A67" s="2" t="s">
        <v>80</v>
      </c>
      <c r="B67" s="7" t="s">
        <v>240</v>
      </c>
      <c r="C67" s="1" t="s">
        <v>241</v>
      </c>
      <c r="D67" s="1" t="str">
        <f>TEXT(C67,"000\.000\.000\-00")</f>
        <v>000.000.095-00</v>
      </c>
      <c r="E67" s="2">
        <v>61</v>
      </c>
      <c r="F67" s="3">
        <v>23964</v>
      </c>
      <c r="G67" s="2" t="s">
        <v>156</v>
      </c>
      <c r="H67" s="7" t="s">
        <v>100</v>
      </c>
      <c r="I67" s="7" t="str">
        <f>PROPER(Tabela1[[#This Row],[regiao]])</f>
        <v>Norte</v>
      </c>
      <c r="J67" s="8">
        <v>7000</v>
      </c>
      <c r="K67" s="9">
        <v>1500</v>
      </c>
      <c r="L67" s="2" t="s">
        <v>101</v>
      </c>
      <c r="M67" s="2">
        <v>32</v>
      </c>
      <c r="N67" s="2" t="str" cm="1">
        <f t="array" ref="N67">_xlfn.IFS(Tabela1[[#This Row],[qtde_]]="N/A", "N/A",Tabela1[[#This Row],[qtde_]]&lt;11,"BAIXO",Tabela1[[#This Row],[qtde_]]&lt;26,"MÉDIO",Tabela1[[#This Row],[qtde_]]&gt;=26,"ALTO")</f>
        <v>ALTO</v>
      </c>
      <c r="O67" s="12" t="str">
        <f>IF(AND(Tabela1[[#This Row],[nivel_risco]]="ALTO",Tabela1[[#This Row],[flag_inadimplente]] = "Sim"),"negada","aprovada")</f>
        <v>negada</v>
      </c>
      <c r="P67" s="12" t="str">
        <f>IF(AND(Tabela1[[#This Row],[credito_tomado]]&gt;50000,Tabela1[[#This Row],[flag_inadimplente]]="Sim"),"negada","aprovada")</f>
        <v>aprovada</v>
      </c>
      <c r="Q67" s="6">
        <v>53000</v>
      </c>
      <c r="R67" s="12" t="e" cm="1">
        <f t="array" ref="R6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68" spans="1:18" ht="15.75" customHeight="1" x14ac:dyDescent="0.2">
      <c r="A68" s="2" t="s">
        <v>96</v>
      </c>
      <c r="B68" s="7" t="s">
        <v>242</v>
      </c>
      <c r="C68" s="1">
        <v>31800</v>
      </c>
      <c r="D68" s="1" t="str">
        <f>TEXT(C68,"000\.000\.000\-00")</f>
        <v>000.000.318-00</v>
      </c>
      <c r="E68" s="2">
        <v>43</v>
      </c>
      <c r="F68" s="3">
        <v>30391</v>
      </c>
      <c r="G68" s="2" t="s">
        <v>112</v>
      </c>
      <c r="H68" s="7" t="s">
        <v>113</v>
      </c>
      <c r="I68" s="7" t="str">
        <f>PROPER(Tabela1[[#This Row],[regiao]])</f>
        <v>Norte</v>
      </c>
      <c r="J68" s="8">
        <v>7100</v>
      </c>
      <c r="K68" s="9">
        <v>5500</v>
      </c>
      <c r="L68" s="2" t="s">
        <v>86</v>
      </c>
      <c r="M68" s="2">
        <v>23</v>
      </c>
      <c r="N68" s="2" t="str" cm="1">
        <f t="array" ref="N68">_xlfn.IFS(Tabela1[[#This Row],[qtde_]]="N/A", "N/A",Tabela1[[#This Row],[qtde_]]&lt;11,"BAIXO",Tabela1[[#This Row],[qtde_]]&lt;26,"MÉDIO",Tabela1[[#This Row],[qtde_]]&gt;=26,"ALTO")</f>
        <v>MÉDIO</v>
      </c>
      <c r="O68" s="12" t="str">
        <f>IF(AND(Tabela1[[#This Row],[nivel_risco]]="ALTO",Tabela1[[#This Row],[flag_inadimplente]] = "Sim"),"negada","aprovada")</f>
        <v>aprovada</v>
      </c>
      <c r="P68" s="12" t="str">
        <f>IF(AND(Tabela1[[#This Row],[credito_tomado]]&gt;50000,Tabela1[[#This Row],[flag_inadimplente]]="Sim"),"negada","aprovada")</f>
        <v>aprovada</v>
      </c>
      <c r="Q68" s="6">
        <v>67000</v>
      </c>
      <c r="R68" s="12" t="e" cm="1">
        <f t="array" ref="R6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69" spans="1:18" ht="15.75" customHeight="1" x14ac:dyDescent="0.2">
      <c r="A69" s="2" t="s">
        <v>96</v>
      </c>
      <c r="B69" s="7" t="s">
        <v>243</v>
      </c>
      <c r="C69" s="1">
        <v>16000</v>
      </c>
      <c r="D69" s="1" t="str">
        <f>TEXT(C69,"000\.000\.000\-00")</f>
        <v>000.000.160-00</v>
      </c>
      <c r="E69" s="2">
        <v>73</v>
      </c>
      <c r="F69" s="3">
        <v>19299</v>
      </c>
      <c r="G69" s="2" t="s">
        <v>104</v>
      </c>
      <c r="H69" s="7" t="s">
        <v>128</v>
      </c>
      <c r="I69" s="7" t="str">
        <f>PROPER(Tabela1[[#This Row],[regiao]])</f>
        <v>Terras Da Tempestade</v>
      </c>
      <c r="J69" s="8">
        <v>7100</v>
      </c>
      <c r="K69" s="9">
        <v>58000</v>
      </c>
      <c r="L69" s="2" t="s">
        <v>101</v>
      </c>
      <c r="M69" s="2">
        <v>22</v>
      </c>
      <c r="N69" s="2" t="str" cm="1">
        <f t="array" ref="N69">_xlfn.IFS(Tabela1[[#This Row],[qtde_]]="N/A", "N/A",Tabela1[[#This Row],[qtde_]]&lt;11,"BAIXO",Tabela1[[#This Row],[qtde_]]&lt;26,"MÉDIO",Tabela1[[#This Row],[qtde_]]&gt;=26,"ALTO")</f>
        <v>MÉDIO</v>
      </c>
      <c r="O69" s="12" t="str">
        <f>IF(AND(Tabela1[[#This Row],[nivel_risco]]="ALTO",Tabela1[[#This Row],[flag_inadimplente]] = "Sim"),"negada","aprovada")</f>
        <v>aprovada</v>
      </c>
      <c r="P69" s="12" t="str">
        <f>IF(AND(Tabela1[[#This Row],[credito_tomado]]&gt;50000,Tabela1[[#This Row],[flag_inadimplente]]="Sim"),"negada","aprovada")</f>
        <v>negada</v>
      </c>
      <c r="Q69" s="6">
        <v>46500</v>
      </c>
      <c r="R69" s="12" t="e" cm="1">
        <f t="array" ref="R6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70" spans="1:18" ht="15.75" customHeight="1" x14ac:dyDescent="0.2">
      <c r="A70" s="2" t="s">
        <v>96</v>
      </c>
      <c r="B70" s="7" t="s">
        <v>244</v>
      </c>
      <c r="C70" s="1" t="s">
        <v>245</v>
      </c>
      <c r="D70" s="1" t="str">
        <f>TEXT(C70,"000\.000\.000\-00")</f>
        <v>000.000.289-00</v>
      </c>
      <c r="E70" s="2">
        <v>74</v>
      </c>
      <c r="F70" s="3">
        <v>19073</v>
      </c>
      <c r="G70" s="2" t="s">
        <v>118</v>
      </c>
      <c r="I70" s="7" t="s">
        <v>83</v>
      </c>
      <c r="J70" s="8">
        <v>7100</v>
      </c>
      <c r="K70" s="9">
        <v>61500</v>
      </c>
      <c r="L70" s="2" t="s">
        <v>86</v>
      </c>
      <c r="M70" s="2">
        <v>1</v>
      </c>
      <c r="N70" s="2" t="str" cm="1">
        <f t="array" ref="N70">_xlfn.IFS(Tabela1[[#This Row],[qtde_]]="N/A", "N/A",Tabela1[[#This Row],[qtde_]]&lt;11,"BAIXO",Tabela1[[#This Row],[qtde_]]&lt;26,"MÉDIO",Tabela1[[#This Row],[qtde_]]&gt;=26,"ALTO")</f>
        <v>BAIXO</v>
      </c>
      <c r="O70" s="12" t="str">
        <f>IF(AND(Tabela1[[#This Row],[nivel_risco]]="ALTO",Tabela1[[#This Row],[flag_inadimplente]] = "Sim"),"negada","aprovada")</f>
        <v>aprovada</v>
      </c>
      <c r="P70" s="12" t="str">
        <f>IF(AND(Tabela1[[#This Row],[credito_tomado]]&gt;50000,Tabela1[[#This Row],[flag_inadimplente]]="Sim"),"negada","aprovada")</f>
        <v>aprovada</v>
      </c>
      <c r="Q70" s="6">
        <v>50500</v>
      </c>
      <c r="R70" s="12" t="e" cm="1">
        <f t="array" ref="R7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71" spans="1:18" ht="15.75" customHeight="1" x14ac:dyDescent="0.2">
      <c r="A71" s="2" t="s">
        <v>80</v>
      </c>
      <c r="B71" s="7" t="s">
        <v>246</v>
      </c>
      <c r="C71" s="1" t="s">
        <v>247</v>
      </c>
      <c r="D71" s="1" t="str">
        <f>TEXT(C71,"000\.000\.000\-00")</f>
        <v>000.000.254-00</v>
      </c>
      <c r="E71" s="2">
        <v>51</v>
      </c>
      <c r="F71" s="3">
        <v>27505</v>
      </c>
      <c r="G71" s="2" t="s">
        <v>248</v>
      </c>
      <c r="H71" s="7" t="s">
        <v>109</v>
      </c>
      <c r="I71" s="7" t="str">
        <f>PROPER(Tabela1[[#This Row],[regiao]])</f>
        <v>Gargalo</v>
      </c>
      <c r="J71" s="8">
        <v>7200</v>
      </c>
      <c r="K71" s="9">
        <v>17500</v>
      </c>
      <c r="L71" s="2" t="s">
        <v>101</v>
      </c>
      <c r="M71" s="2">
        <v>40</v>
      </c>
      <c r="N71" s="2" t="str" cm="1">
        <f t="array" ref="N71">_xlfn.IFS(Tabela1[[#This Row],[qtde_]]="N/A", "N/A",Tabela1[[#This Row],[qtde_]]&lt;11,"BAIXO",Tabela1[[#This Row],[qtde_]]&lt;26,"MÉDIO",Tabela1[[#This Row],[qtde_]]&gt;=26,"ALTO")</f>
        <v>ALTO</v>
      </c>
      <c r="O71" s="12" t="str">
        <f>IF(AND(Tabela1[[#This Row],[nivel_risco]]="ALTO",Tabela1[[#This Row],[flag_inadimplente]] = "Sim"),"negada","aprovada")</f>
        <v>negada</v>
      </c>
      <c r="P71" s="12" t="str">
        <f>IF(AND(Tabela1[[#This Row],[credito_tomado]]&gt;50000,Tabela1[[#This Row],[flag_inadimplente]]="Sim"),"negada","aprovada")</f>
        <v>aprovada</v>
      </c>
      <c r="Q71" s="6">
        <v>5500</v>
      </c>
      <c r="R71" s="12" t="e" cm="1">
        <f t="array" ref="R7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72" spans="1:18" ht="15.75" customHeight="1" x14ac:dyDescent="0.2">
      <c r="A72" s="2" t="s">
        <v>80</v>
      </c>
      <c r="B72" s="7" t="s">
        <v>249</v>
      </c>
      <c r="C72" s="1" t="s">
        <v>250</v>
      </c>
      <c r="D72" s="1" t="str">
        <f>TEXT(C72,"000\.000\.000\-00")</f>
        <v>000.000.123-00</v>
      </c>
      <c r="E72" s="2">
        <v>19</v>
      </c>
      <c r="F72" s="3">
        <v>39209</v>
      </c>
      <c r="G72" s="2" t="s">
        <v>121</v>
      </c>
      <c r="H72" s="7" t="s">
        <v>85</v>
      </c>
      <c r="I72" s="7" t="str">
        <f>PROPER(Tabela1[[#This Row],[regiao]])</f>
        <v>Campina</v>
      </c>
      <c r="J72" s="8">
        <v>7200</v>
      </c>
      <c r="K72" s="9">
        <v>16000</v>
      </c>
      <c r="L72" s="2" t="s">
        <v>86</v>
      </c>
      <c r="M72" s="2">
        <v>5</v>
      </c>
      <c r="N72" s="2" t="str" cm="1">
        <f t="array" ref="N72">_xlfn.IFS(Tabela1[[#This Row],[qtde_]]="N/A", "N/A",Tabela1[[#This Row],[qtde_]]&lt;11,"BAIXO",Tabela1[[#This Row],[qtde_]]&lt;26,"MÉDIO",Tabela1[[#This Row],[qtde_]]&gt;=26,"ALTO")</f>
        <v>BAIXO</v>
      </c>
      <c r="O72" s="12" t="str">
        <f>IF(AND(Tabela1[[#This Row],[nivel_risco]]="ALTO",Tabela1[[#This Row],[flag_inadimplente]] = "Sim"),"negada","aprovada")</f>
        <v>aprovada</v>
      </c>
      <c r="P72" s="12" t="str">
        <f>IF(AND(Tabela1[[#This Row],[credito_tomado]]&gt;50000,Tabela1[[#This Row],[flag_inadimplente]]="Sim"),"negada","aprovada")</f>
        <v>aprovada</v>
      </c>
      <c r="Q72" s="6">
        <v>52000</v>
      </c>
      <c r="R72" s="12" cm="1">
        <f t="array" ref="R7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4160</v>
      </c>
    </row>
    <row r="73" spans="1:18" ht="15.75" customHeight="1" x14ac:dyDescent="0.2">
      <c r="A73" s="2" t="s">
        <v>80</v>
      </c>
      <c r="B73" s="7" t="s">
        <v>189</v>
      </c>
      <c r="C73" s="1" t="s">
        <v>251</v>
      </c>
      <c r="D73" s="1" t="str">
        <f>TEXT(C73,"000\.000\.000\-00")</f>
        <v>000.000.088-00</v>
      </c>
      <c r="E73" s="2">
        <v>74</v>
      </c>
      <c r="F73" s="3">
        <v>19121</v>
      </c>
      <c r="G73" s="2" t="s">
        <v>112</v>
      </c>
      <c r="H73" s="7" t="s">
        <v>113</v>
      </c>
      <c r="I73" s="7" t="str">
        <f>PROPER(Tabela1[[#This Row],[regiao]])</f>
        <v>Norte</v>
      </c>
      <c r="J73" s="8">
        <v>7300</v>
      </c>
      <c r="K73" s="9">
        <v>1000</v>
      </c>
      <c r="L73" s="2" t="s">
        <v>86</v>
      </c>
      <c r="M73" s="2">
        <v>3</v>
      </c>
      <c r="N73" s="2" t="str" cm="1">
        <f t="array" ref="N73">_xlfn.IFS(Tabela1[[#This Row],[qtde_]]="N/A", "N/A",Tabela1[[#This Row],[qtde_]]&lt;11,"BAIXO",Tabela1[[#This Row],[qtde_]]&lt;26,"MÉDIO",Tabela1[[#This Row],[qtde_]]&gt;=26,"ALTO")</f>
        <v>BAIXO</v>
      </c>
      <c r="O73" s="12" t="str">
        <f>IF(AND(Tabela1[[#This Row],[nivel_risco]]="ALTO",Tabela1[[#This Row],[flag_inadimplente]] = "Sim"),"negada","aprovada")</f>
        <v>aprovada</v>
      </c>
      <c r="P73" s="12" t="str">
        <f>IF(AND(Tabela1[[#This Row],[credito_tomado]]&gt;50000,Tabela1[[#This Row],[flag_inadimplente]]="Sim"),"negada","aprovada")</f>
        <v>aprovada</v>
      </c>
      <c r="Q73" s="6">
        <v>50500</v>
      </c>
      <c r="R73" s="12" cm="1">
        <f t="array" ref="R7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4040</v>
      </c>
    </row>
    <row r="74" spans="1:18" ht="15.75" customHeight="1" x14ac:dyDescent="0.2">
      <c r="A74" s="2" t="s">
        <v>80</v>
      </c>
      <c r="B74" s="7" t="s">
        <v>252</v>
      </c>
      <c r="C74" s="1" t="s">
        <v>253</v>
      </c>
      <c r="D74" s="1" t="str">
        <f>TEXT(C74,"000\.000\.000\-00")</f>
        <v>000.000.147-00</v>
      </c>
      <c r="E74" s="2">
        <v>52</v>
      </c>
      <c r="F74" s="3">
        <v>26921</v>
      </c>
      <c r="G74" s="2" t="s">
        <v>156</v>
      </c>
      <c r="H74" s="7" t="s">
        <v>113</v>
      </c>
      <c r="I74" s="7" t="str">
        <f>PROPER(Tabela1[[#This Row],[regiao]])</f>
        <v>Norte</v>
      </c>
      <c r="J74" s="8">
        <v>7300</v>
      </c>
      <c r="K74" s="9">
        <v>74000</v>
      </c>
      <c r="L74" s="2" t="s">
        <v>86</v>
      </c>
      <c r="M74" s="2">
        <v>40</v>
      </c>
      <c r="N74" s="2" t="str" cm="1">
        <f t="array" ref="N74">_xlfn.IFS(Tabela1[[#This Row],[qtde_]]="N/A", "N/A",Tabela1[[#This Row],[qtde_]]&lt;11,"BAIXO",Tabela1[[#This Row],[qtde_]]&lt;26,"MÉDIO",Tabela1[[#This Row],[qtde_]]&gt;=26,"ALTO")</f>
        <v>ALTO</v>
      </c>
      <c r="O74" s="12" t="str">
        <f>IF(AND(Tabela1[[#This Row],[nivel_risco]]="ALTO",Tabela1[[#This Row],[flag_inadimplente]] = "Sim"),"negada","aprovada")</f>
        <v>aprovada</v>
      </c>
      <c r="P74" s="12" t="str">
        <f>IF(AND(Tabela1[[#This Row],[credito_tomado]]&gt;50000,Tabela1[[#This Row],[flag_inadimplente]]="Sim"),"negada","aprovada")</f>
        <v>aprovada</v>
      </c>
      <c r="Q74" s="6">
        <v>34500</v>
      </c>
      <c r="R74" s="12" cm="1">
        <f t="array" ref="R7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2760</v>
      </c>
    </row>
    <row r="75" spans="1:18" ht="15.75" customHeight="1" x14ac:dyDescent="0.2">
      <c r="A75" s="2" t="s">
        <v>80</v>
      </c>
      <c r="B75" s="7" t="s">
        <v>254</v>
      </c>
      <c r="C75" s="1" t="s">
        <v>255</v>
      </c>
      <c r="D75" s="1" t="str">
        <f>TEXT(C75,"000\.000\.000\-00")</f>
        <v>000.000.274-00</v>
      </c>
      <c r="E75" s="2">
        <v>34</v>
      </c>
      <c r="F75" s="3">
        <v>33624</v>
      </c>
      <c r="G75" s="2" t="s">
        <v>94</v>
      </c>
      <c r="H75" s="7" t="s">
        <v>256</v>
      </c>
      <c r="I75" s="7" t="str">
        <f>PROPER(Tabela1[[#This Row],[regiao]])</f>
        <v>Ilhas De Ferro</v>
      </c>
      <c r="J75" s="8">
        <v>8000</v>
      </c>
      <c r="K75" s="9">
        <v>14500</v>
      </c>
      <c r="L75" s="2" t="s">
        <v>101</v>
      </c>
      <c r="M75" s="2">
        <v>9</v>
      </c>
      <c r="N75" s="2" t="str" cm="1">
        <f t="array" ref="N75">_xlfn.IFS(Tabela1[[#This Row],[qtde_]]="N/A", "N/A",Tabela1[[#This Row],[qtde_]]&lt;11,"BAIXO",Tabela1[[#This Row],[qtde_]]&lt;26,"MÉDIO",Tabela1[[#This Row],[qtde_]]&gt;=26,"ALTO")</f>
        <v>BAIXO</v>
      </c>
      <c r="O75" s="12" t="str">
        <f>IF(AND(Tabela1[[#This Row],[nivel_risco]]="ALTO",Tabela1[[#This Row],[flag_inadimplente]] = "Sim"),"negada","aprovada")</f>
        <v>aprovada</v>
      </c>
      <c r="P75" s="12" t="str">
        <f>IF(AND(Tabela1[[#This Row],[credito_tomado]]&gt;50000,Tabela1[[#This Row],[flag_inadimplente]]="Sim"),"negada","aprovada")</f>
        <v>aprovada</v>
      </c>
      <c r="Q75" s="6">
        <v>17500</v>
      </c>
      <c r="R75" s="12" cm="1">
        <f t="array" ref="R7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1400</v>
      </c>
    </row>
    <row r="76" spans="1:18" ht="15.75" customHeight="1" x14ac:dyDescent="0.2">
      <c r="A76" s="2" t="s">
        <v>80</v>
      </c>
      <c r="B76" s="7" t="s">
        <v>257</v>
      </c>
      <c r="C76" s="1" t="s">
        <v>258</v>
      </c>
      <c r="D76" s="1" t="str">
        <f>TEXT(C76,"000\.000\.000\-00")</f>
        <v>000.000.189-00</v>
      </c>
      <c r="E76" s="2">
        <v>39</v>
      </c>
      <c r="F76" s="3">
        <v>31968</v>
      </c>
      <c r="G76" s="2" t="s">
        <v>259</v>
      </c>
      <c r="H76" s="10" t="s">
        <v>113</v>
      </c>
      <c r="I76" s="10" t="str">
        <f>PROPER(Tabela1[[#This Row],[regiao]])</f>
        <v>Norte</v>
      </c>
      <c r="J76" s="8">
        <v>8000</v>
      </c>
      <c r="K76" s="9">
        <v>69000</v>
      </c>
      <c r="L76" s="2" t="s">
        <v>86</v>
      </c>
      <c r="M76" s="2">
        <v>15</v>
      </c>
      <c r="N76" s="2" t="str" cm="1">
        <f t="array" ref="N76">_xlfn.IFS(Tabela1[[#This Row],[qtde_]]="N/A", "N/A",Tabela1[[#This Row],[qtde_]]&lt;11,"BAIXO",Tabela1[[#This Row],[qtde_]]&lt;26,"MÉDIO",Tabela1[[#This Row],[qtde_]]&gt;=26,"ALTO")</f>
        <v>MÉDIO</v>
      </c>
      <c r="O76" s="12" t="str">
        <f>IF(AND(Tabela1[[#This Row],[nivel_risco]]="ALTO",Tabela1[[#This Row],[flag_inadimplente]] = "Sim"),"negada","aprovada")</f>
        <v>aprovada</v>
      </c>
      <c r="P76" s="12" t="str">
        <f>IF(AND(Tabela1[[#This Row],[credito_tomado]]&gt;50000,Tabela1[[#This Row],[flag_inadimplente]]="Sim"),"negada","aprovada")</f>
        <v>aprovada</v>
      </c>
      <c r="Q76" s="6">
        <v>39500</v>
      </c>
      <c r="R76" s="12" cm="1">
        <f t="array" ref="R7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3160</v>
      </c>
    </row>
    <row r="77" spans="1:18" ht="15.75" customHeight="1" x14ac:dyDescent="0.2">
      <c r="A77" s="2" t="s">
        <v>80</v>
      </c>
      <c r="B77" s="7" t="s">
        <v>260</v>
      </c>
      <c r="C77" s="1" t="s">
        <v>261</v>
      </c>
      <c r="D77" s="1" t="str">
        <f>TEXT(C77,"000\.000\.000\-00")</f>
        <v>000.000.244-00</v>
      </c>
      <c r="E77" s="2">
        <v>69</v>
      </c>
      <c r="F77" s="3">
        <v>20725</v>
      </c>
      <c r="G77" s="2" t="s">
        <v>153</v>
      </c>
      <c r="H77" s="7" t="s">
        <v>154</v>
      </c>
      <c r="I77" s="7" t="str">
        <f>PROPER(Tabela1[[#This Row],[regiao]])</f>
        <v>Terras Fluviais</v>
      </c>
      <c r="J77" s="8">
        <v>8100</v>
      </c>
      <c r="K77" s="9">
        <v>27500</v>
      </c>
      <c r="L77" s="2" t="s">
        <v>86</v>
      </c>
      <c r="M77" s="2">
        <v>42</v>
      </c>
      <c r="N77" s="2" t="str" cm="1">
        <f t="array" ref="N77">_xlfn.IFS(Tabela1[[#This Row],[qtde_]]="N/A", "N/A",Tabela1[[#This Row],[qtde_]]&lt;11,"BAIXO",Tabela1[[#This Row],[qtde_]]&lt;26,"MÉDIO",Tabela1[[#This Row],[qtde_]]&gt;=26,"ALTO")</f>
        <v>ALTO</v>
      </c>
      <c r="O77" s="12" t="str">
        <f>IF(AND(Tabela1[[#This Row],[nivel_risco]]="ALTO",Tabela1[[#This Row],[flag_inadimplente]] = "Sim"),"negada","aprovada")</f>
        <v>aprovada</v>
      </c>
      <c r="P77" s="12" t="str">
        <f>IF(AND(Tabela1[[#This Row],[credito_tomado]]&gt;50000,Tabela1[[#This Row],[flag_inadimplente]]="Sim"),"negada","aprovada")</f>
        <v>aprovada</v>
      </c>
      <c r="Q77" s="6">
        <v>72500</v>
      </c>
      <c r="R77" s="12" cm="1">
        <f t="array" ref="R7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5800</v>
      </c>
    </row>
    <row r="78" spans="1:18" ht="15.75" customHeight="1" x14ac:dyDescent="0.2">
      <c r="A78" s="2" t="s">
        <v>96</v>
      </c>
      <c r="B78" s="7" t="s">
        <v>262</v>
      </c>
      <c r="C78" s="1" t="s">
        <v>263</v>
      </c>
      <c r="D78" s="1" t="str">
        <f>TEXT(C78,"000\.000\.000\-00")</f>
        <v>000.000.217-00</v>
      </c>
      <c r="E78" s="2">
        <v>68</v>
      </c>
      <c r="F78" s="3">
        <v>21205</v>
      </c>
      <c r="G78" s="2" t="s">
        <v>84</v>
      </c>
      <c r="H78" s="7" t="s">
        <v>85</v>
      </c>
      <c r="I78" s="7" t="str">
        <f>PROPER(Tabela1[[#This Row],[regiao]])</f>
        <v>Campina</v>
      </c>
      <c r="J78" s="8">
        <v>8200</v>
      </c>
      <c r="K78" s="9">
        <v>66000</v>
      </c>
      <c r="L78" s="2" t="s">
        <v>86</v>
      </c>
      <c r="M78" s="2">
        <v>16</v>
      </c>
      <c r="N78" s="2" t="str" cm="1">
        <f t="array" ref="N78">_xlfn.IFS(Tabela1[[#This Row],[qtde_]]="N/A", "N/A",Tabela1[[#This Row],[qtde_]]&lt;11,"BAIXO",Tabela1[[#This Row],[qtde_]]&lt;26,"MÉDIO",Tabela1[[#This Row],[qtde_]]&gt;=26,"ALTO")</f>
        <v>MÉDIO</v>
      </c>
      <c r="O78" s="12" t="str">
        <f>IF(AND(Tabela1[[#This Row],[nivel_risco]]="ALTO",Tabela1[[#This Row],[flag_inadimplente]] = "Sim"),"negada","aprovada")</f>
        <v>aprovada</v>
      </c>
      <c r="P78" s="12" t="str">
        <f>IF(AND(Tabela1[[#This Row],[credito_tomado]]&gt;50000,Tabela1[[#This Row],[flag_inadimplente]]="Sim"),"negada","aprovada")</f>
        <v>aprovada</v>
      </c>
      <c r="Q78" s="6">
        <v>84000</v>
      </c>
      <c r="R78" s="12" t="e" cm="1">
        <f t="array" ref="R7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79" spans="1:18" ht="15.75" customHeight="1" x14ac:dyDescent="0.2">
      <c r="A79" s="2" t="s">
        <v>80</v>
      </c>
      <c r="B79" s="7" t="s">
        <v>264</v>
      </c>
      <c r="C79" s="1">
        <v>10200</v>
      </c>
      <c r="D79" s="1" t="str">
        <f>TEXT(C79,"000\.000\.000\-00")</f>
        <v>000.000.102-00</v>
      </c>
      <c r="E79" s="2">
        <v>35</v>
      </c>
      <c r="F79" s="3">
        <v>33444</v>
      </c>
      <c r="G79" s="2" t="s">
        <v>215</v>
      </c>
      <c r="H79" s="7" t="s">
        <v>90</v>
      </c>
      <c r="I79" s="7" t="str">
        <f>PROPER(Tabela1[[#This Row],[regiao]])</f>
        <v>Terras Da Coroa</v>
      </c>
      <c r="J79" s="8">
        <v>8400</v>
      </c>
      <c r="K79" s="9">
        <v>62500</v>
      </c>
      <c r="L79" s="2" t="s">
        <v>86</v>
      </c>
      <c r="M79" s="2">
        <v>31</v>
      </c>
      <c r="N79" s="2" t="str" cm="1">
        <f t="array" ref="N79">_xlfn.IFS(Tabela1[[#This Row],[qtde_]]="N/A", "N/A",Tabela1[[#This Row],[qtde_]]&lt;11,"BAIXO",Tabela1[[#This Row],[qtde_]]&lt;26,"MÉDIO",Tabela1[[#This Row],[qtde_]]&gt;=26,"ALTO")</f>
        <v>ALTO</v>
      </c>
      <c r="O79" s="12" t="str">
        <f>IF(AND(Tabela1[[#This Row],[nivel_risco]]="ALTO",Tabela1[[#This Row],[flag_inadimplente]] = "Sim"),"negada","aprovada")</f>
        <v>aprovada</v>
      </c>
      <c r="P79" s="12" t="str">
        <f>IF(AND(Tabela1[[#This Row],[credito_tomado]]&gt;50000,Tabela1[[#This Row],[flag_inadimplente]]="Sim"),"negada","aprovada")</f>
        <v>aprovada</v>
      </c>
      <c r="Q79" s="6">
        <v>83500</v>
      </c>
      <c r="R79" s="12" cm="1">
        <f t="array" ref="R7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6680</v>
      </c>
    </row>
    <row r="80" spans="1:18" ht="15.75" customHeight="1" x14ac:dyDescent="0.2">
      <c r="A80" s="2" t="s">
        <v>80</v>
      </c>
      <c r="B80" s="7" t="s">
        <v>265</v>
      </c>
      <c r="C80" s="1" t="s">
        <v>266</v>
      </c>
      <c r="D80" s="1" t="str">
        <f>TEXT(C80,"000\.000\.000\-00")</f>
        <v>000.000.075-00</v>
      </c>
      <c r="E80" s="2">
        <v>67</v>
      </c>
      <c r="F80" s="3">
        <v>21624</v>
      </c>
      <c r="G80" s="2" t="s">
        <v>267</v>
      </c>
      <c r="H80" s="7" t="s">
        <v>100</v>
      </c>
      <c r="I80" s="7" t="str">
        <f>PROPER(Tabela1[[#This Row],[regiao]])</f>
        <v>Norte</v>
      </c>
      <c r="J80" s="8">
        <v>8500</v>
      </c>
      <c r="K80" s="9">
        <v>39500</v>
      </c>
      <c r="L80" s="2" t="s">
        <v>101</v>
      </c>
      <c r="M80" s="2" t="s">
        <v>83</v>
      </c>
      <c r="N80" s="2" t="str" cm="1">
        <f t="array" ref="N80">_xlfn.IFS(Tabela1[[#This Row],[qtde_]]="N/A", "N/A",Tabela1[[#This Row],[qtde_]]&lt;11,"BAIXO",Tabela1[[#This Row],[qtde_]]&lt;26,"MÉDIO",Tabela1[[#This Row],[qtde_]]&gt;=26,"ALTO")</f>
        <v>N/A</v>
      </c>
      <c r="O80" s="12" t="str">
        <f>IF(AND(Tabela1[[#This Row],[nivel_risco]]="ALTO",Tabela1[[#This Row],[flag_inadimplente]] = "Sim"),"negada","aprovada")</f>
        <v>aprovada</v>
      </c>
      <c r="P80" s="12" t="str">
        <f>IF(AND(Tabela1[[#This Row],[credito_tomado]]&gt;50000,Tabela1[[#This Row],[flag_inadimplente]]="Sim"),"negada","aprovada")</f>
        <v>aprovada</v>
      </c>
      <c r="Q80" s="6">
        <v>42000</v>
      </c>
      <c r="R80" s="12" t="str" cm="1">
        <f t="array" ref="R8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81" spans="1:18" ht="15.75" customHeight="1" x14ac:dyDescent="0.2">
      <c r="A81" s="2" t="s">
        <v>80</v>
      </c>
      <c r="B81" s="7" t="s">
        <v>268</v>
      </c>
      <c r="C81" s="1" t="s">
        <v>269</v>
      </c>
      <c r="D81" s="1" t="str">
        <f>TEXT(C81,"000\.000\.000\-00")</f>
        <v>000.000.076-00</v>
      </c>
      <c r="E81" s="2">
        <v>28</v>
      </c>
      <c r="F81" s="3">
        <v>35830</v>
      </c>
      <c r="G81" s="2" t="s">
        <v>118</v>
      </c>
      <c r="H81" s="7" t="s">
        <v>119</v>
      </c>
      <c r="I81" s="7" t="str">
        <f>PROPER(Tabela1[[#This Row],[regiao]])</f>
        <v>Oeste</v>
      </c>
      <c r="J81" s="8">
        <v>8600</v>
      </c>
      <c r="K81" s="9">
        <v>19000</v>
      </c>
      <c r="L81" s="2" t="s">
        <v>101</v>
      </c>
      <c r="M81" s="2">
        <v>4</v>
      </c>
      <c r="N81" s="2" t="str" cm="1">
        <f t="array" ref="N81">_xlfn.IFS(Tabela1[[#This Row],[qtde_]]="N/A", "N/A",Tabela1[[#This Row],[qtde_]]&lt;11,"BAIXO",Tabela1[[#This Row],[qtde_]]&lt;26,"MÉDIO",Tabela1[[#This Row],[qtde_]]&gt;=26,"ALTO")</f>
        <v>BAIXO</v>
      </c>
      <c r="O81" s="12" t="str">
        <f>IF(AND(Tabela1[[#This Row],[nivel_risco]]="ALTO",Tabela1[[#This Row],[flag_inadimplente]] = "Sim"),"negada","aprovada")</f>
        <v>aprovada</v>
      </c>
      <c r="P81" s="12" t="str">
        <f>IF(AND(Tabela1[[#This Row],[credito_tomado]]&gt;50000,Tabela1[[#This Row],[flag_inadimplente]]="Sim"),"negada","aprovada")</f>
        <v>aprovada</v>
      </c>
      <c r="Q81" s="6">
        <v>32500</v>
      </c>
      <c r="R81" s="12" cm="1">
        <f t="array" ref="R8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2600</v>
      </c>
    </row>
    <row r="82" spans="1:18" ht="15.75" customHeight="1" x14ac:dyDescent="0.2">
      <c r="A82" s="2" t="s">
        <v>80</v>
      </c>
      <c r="B82" s="7" t="s">
        <v>270</v>
      </c>
      <c r="C82" s="1" t="s">
        <v>271</v>
      </c>
      <c r="D82" s="1" t="str">
        <f>TEXT(C82,"000\.000\.000\-00")</f>
        <v>000.000.187-00</v>
      </c>
      <c r="E82" s="2">
        <v>39</v>
      </c>
      <c r="F82" s="3">
        <v>31972</v>
      </c>
      <c r="G82" s="2" t="s">
        <v>153</v>
      </c>
      <c r="H82" s="7" t="s">
        <v>133</v>
      </c>
      <c r="I82" s="7" t="str">
        <f>PROPER(Tabela1[[#This Row],[regiao]])</f>
        <v>Terras Fluviais</v>
      </c>
      <c r="J82" s="8">
        <v>8700</v>
      </c>
      <c r="K82" s="9">
        <v>4500</v>
      </c>
      <c r="L82" s="2" t="s">
        <v>86</v>
      </c>
      <c r="M82" s="2">
        <v>16</v>
      </c>
      <c r="N82" s="2" t="str" cm="1">
        <f t="array" ref="N82">_xlfn.IFS(Tabela1[[#This Row],[qtde_]]="N/A", "N/A",Tabela1[[#This Row],[qtde_]]&lt;11,"BAIXO",Tabela1[[#This Row],[qtde_]]&lt;26,"MÉDIO",Tabela1[[#This Row],[qtde_]]&gt;=26,"ALTO")</f>
        <v>MÉDIO</v>
      </c>
      <c r="O82" s="12" t="str">
        <f>IF(AND(Tabela1[[#This Row],[nivel_risco]]="ALTO",Tabela1[[#This Row],[flag_inadimplente]] = "Sim"),"negada","aprovada")</f>
        <v>aprovada</v>
      </c>
      <c r="P82" s="12" t="str">
        <f>IF(AND(Tabela1[[#This Row],[credito_tomado]]&gt;50000,Tabela1[[#This Row],[flag_inadimplente]]="Sim"),"negada","aprovada")</f>
        <v>aprovada</v>
      </c>
      <c r="Q82" s="6">
        <v>93500</v>
      </c>
      <c r="R82" s="12" cm="1">
        <f t="array" ref="R8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7480</v>
      </c>
    </row>
    <row r="83" spans="1:18" ht="15.75" customHeight="1" x14ac:dyDescent="0.2">
      <c r="A83" s="2" t="s">
        <v>80</v>
      </c>
      <c r="B83" s="7" t="s">
        <v>272</v>
      </c>
      <c r="C83" s="1" t="s">
        <v>273</v>
      </c>
      <c r="D83" s="1" t="str">
        <f>TEXT(C83,"000\.000\.000\-00")</f>
        <v>000.000.316-00</v>
      </c>
      <c r="E83" s="2">
        <v>64</v>
      </c>
      <c r="F83" s="3">
        <v>22886</v>
      </c>
      <c r="G83" s="2" t="s">
        <v>94</v>
      </c>
      <c r="H83" s="7" t="s">
        <v>162</v>
      </c>
      <c r="I83" s="7" t="str">
        <f>PROPER(Tabela1[[#This Row],[regiao]])</f>
        <v>Ilhas De Ferro</v>
      </c>
      <c r="J83" s="8">
        <v>8800</v>
      </c>
      <c r="K83" s="9">
        <v>66000</v>
      </c>
      <c r="L83" s="2" t="s">
        <v>86</v>
      </c>
      <c r="M83" s="2">
        <v>28</v>
      </c>
      <c r="N83" s="2" t="str" cm="1">
        <f t="array" ref="N83">_xlfn.IFS(Tabela1[[#This Row],[qtde_]]="N/A", "N/A",Tabela1[[#This Row],[qtde_]]&lt;11,"BAIXO",Tabela1[[#This Row],[qtde_]]&lt;26,"MÉDIO",Tabela1[[#This Row],[qtde_]]&gt;=26,"ALTO")</f>
        <v>ALTO</v>
      </c>
      <c r="O83" s="12" t="str">
        <f>IF(AND(Tabela1[[#This Row],[nivel_risco]]="ALTO",Tabela1[[#This Row],[flag_inadimplente]] = "Sim"),"negada","aprovada")</f>
        <v>aprovada</v>
      </c>
      <c r="P83" s="12" t="str">
        <f>IF(AND(Tabela1[[#This Row],[credito_tomado]]&gt;50000,Tabela1[[#This Row],[flag_inadimplente]]="Sim"),"negada","aprovada")</f>
        <v>aprovada</v>
      </c>
      <c r="Q83" s="6">
        <v>5000</v>
      </c>
      <c r="R83" s="12" cm="1">
        <f t="array" ref="R8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400</v>
      </c>
    </row>
    <row r="84" spans="1:18" ht="15.75" customHeight="1" x14ac:dyDescent="0.2">
      <c r="A84" s="2" t="s">
        <v>80</v>
      </c>
      <c r="B84" s="7" t="s">
        <v>274</v>
      </c>
      <c r="C84" s="1" t="s">
        <v>275</v>
      </c>
      <c r="D84" s="1" t="str">
        <f>TEXT(C84,"000\.000\.000\-00")</f>
        <v>000.000.334-00</v>
      </c>
      <c r="E84" s="2">
        <v>24</v>
      </c>
      <c r="F84" s="3">
        <v>37491</v>
      </c>
      <c r="G84" s="2" t="s">
        <v>115</v>
      </c>
      <c r="H84" s="7" t="s">
        <v>276</v>
      </c>
      <c r="I84" s="7" t="str">
        <f>PROPER(Tabela1[[#This Row],[regiao]])</f>
        <v>Dorne</v>
      </c>
      <c r="J84" s="8">
        <v>8900</v>
      </c>
      <c r="K84" s="9">
        <v>19500</v>
      </c>
      <c r="L84" s="2" t="s">
        <v>101</v>
      </c>
      <c r="M84" s="2">
        <v>33</v>
      </c>
      <c r="N84" s="2" t="str" cm="1">
        <f t="array" ref="N84">_xlfn.IFS(Tabela1[[#This Row],[qtde_]]="N/A", "N/A",Tabela1[[#This Row],[qtde_]]&lt;11,"BAIXO",Tabela1[[#This Row],[qtde_]]&lt;26,"MÉDIO",Tabela1[[#This Row],[qtde_]]&gt;=26,"ALTO")</f>
        <v>ALTO</v>
      </c>
      <c r="O84" s="12" t="str">
        <f>IF(AND(Tabela1[[#This Row],[nivel_risco]]="ALTO",Tabela1[[#This Row],[flag_inadimplente]] = "Sim"),"negada","aprovada")</f>
        <v>negada</v>
      </c>
      <c r="P84" s="12" t="str">
        <f>IF(AND(Tabela1[[#This Row],[credito_tomado]]&gt;50000,Tabela1[[#This Row],[flag_inadimplente]]="Sim"),"negada","aprovada")</f>
        <v>aprovada</v>
      </c>
      <c r="Q84" s="6">
        <v>96500</v>
      </c>
      <c r="R84" s="12" t="e" cm="1">
        <f t="array" ref="R8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85" spans="1:18" ht="15.75" customHeight="1" x14ac:dyDescent="0.2">
      <c r="A85" s="2" t="s">
        <v>96</v>
      </c>
      <c r="B85" s="7" t="s">
        <v>277</v>
      </c>
      <c r="C85" s="1">
        <v>23700</v>
      </c>
      <c r="D85" s="1" t="str">
        <f>TEXT(C85,"000\.000\.000\-00")</f>
        <v>000.000.237-00</v>
      </c>
      <c r="E85" s="2" t="s">
        <v>83</v>
      </c>
      <c r="F85" s="3">
        <v>19234</v>
      </c>
      <c r="G85" s="2" t="s">
        <v>84</v>
      </c>
      <c r="H85" s="7" t="s">
        <v>85</v>
      </c>
      <c r="I85" s="7" t="str">
        <f>PROPER(Tabela1[[#This Row],[regiao]])</f>
        <v>Campina</v>
      </c>
      <c r="J85" s="8">
        <v>8900</v>
      </c>
      <c r="K85" s="9">
        <v>4000</v>
      </c>
      <c r="L85" s="2" t="s">
        <v>86</v>
      </c>
      <c r="M85" s="2">
        <v>38</v>
      </c>
      <c r="N85" s="2" t="str" cm="1">
        <f t="array" ref="N85">_xlfn.IFS(Tabela1[[#This Row],[qtde_]]="N/A", "N/A",Tabela1[[#This Row],[qtde_]]&lt;11,"BAIXO",Tabela1[[#This Row],[qtde_]]&lt;26,"MÉDIO",Tabela1[[#This Row],[qtde_]]&gt;=26,"ALTO")</f>
        <v>ALTO</v>
      </c>
      <c r="O85" s="12" t="str">
        <f>IF(AND(Tabela1[[#This Row],[nivel_risco]]="ALTO",Tabela1[[#This Row],[flag_inadimplente]] = "Sim"),"negada","aprovada")</f>
        <v>aprovada</v>
      </c>
      <c r="P85" s="12" t="str">
        <f>IF(AND(Tabela1[[#This Row],[credito_tomado]]&gt;50000,Tabela1[[#This Row],[flag_inadimplente]]="Sim"),"negada","aprovada")</f>
        <v>aprovada</v>
      </c>
      <c r="Q85" s="6">
        <v>22500</v>
      </c>
      <c r="R85" s="12" t="e" cm="1">
        <f t="array" ref="R8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86" spans="1:18" ht="15.75" customHeight="1" x14ac:dyDescent="0.2">
      <c r="A86" s="2" t="s">
        <v>80</v>
      </c>
      <c r="B86" s="7" t="s">
        <v>278</v>
      </c>
      <c r="C86" s="1" t="s">
        <v>279</v>
      </c>
      <c r="D86" s="1" t="str">
        <f>TEXT(C86,"000\.000\.000\-00")</f>
        <v>000.000.071-00</v>
      </c>
      <c r="E86" s="2" t="s">
        <v>83</v>
      </c>
      <c r="F86" s="3">
        <v>34769</v>
      </c>
      <c r="G86" s="2" t="s">
        <v>118</v>
      </c>
      <c r="H86" s="7" t="s">
        <v>201</v>
      </c>
      <c r="I86" s="7" t="str">
        <f>PROPER(Tabela1[[#This Row],[regiao]])</f>
        <v>Oeste</v>
      </c>
      <c r="J86" s="8">
        <v>9000</v>
      </c>
      <c r="K86" s="9">
        <v>66000</v>
      </c>
      <c r="L86" s="2" t="s">
        <v>86</v>
      </c>
      <c r="M86" s="2">
        <v>24</v>
      </c>
      <c r="N86" s="2" t="str" cm="1">
        <f t="array" ref="N86">_xlfn.IFS(Tabela1[[#This Row],[qtde_]]="N/A", "N/A",Tabela1[[#This Row],[qtde_]]&lt;11,"BAIXO",Tabela1[[#This Row],[qtde_]]&lt;26,"MÉDIO",Tabela1[[#This Row],[qtde_]]&gt;=26,"ALTO")</f>
        <v>MÉDIO</v>
      </c>
      <c r="O86" s="12" t="str">
        <f>IF(AND(Tabela1[[#This Row],[nivel_risco]]="ALTO",Tabela1[[#This Row],[flag_inadimplente]] = "Sim"),"negada","aprovada")</f>
        <v>aprovada</v>
      </c>
      <c r="P86" s="12" t="str">
        <f>IF(AND(Tabela1[[#This Row],[credito_tomado]]&gt;50000,Tabela1[[#This Row],[flag_inadimplente]]="Sim"),"negada","aprovada")</f>
        <v>aprovada</v>
      </c>
      <c r="Q86" s="6">
        <v>72000</v>
      </c>
      <c r="R86" s="12" cm="1">
        <f t="array" ref="R8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5760</v>
      </c>
    </row>
    <row r="87" spans="1:18" ht="15.75" customHeight="1" x14ac:dyDescent="0.2">
      <c r="A87" s="2" t="s">
        <v>80</v>
      </c>
      <c r="B87" s="7" t="s">
        <v>280</v>
      </c>
      <c r="C87" s="1" t="s">
        <v>281</v>
      </c>
      <c r="D87" s="1" t="str">
        <f>TEXT(C87,"000\.000\.000\-00")</f>
        <v>000.000.266-00</v>
      </c>
      <c r="E87" s="2">
        <v>70</v>
      </c>
      <c r="F87" s="3">
        <v>20533</v>
      </c>
      <c r="G87" s="2" t="s">
        <v>108</v>
      </c>
      <c r="H87" s="7" t="s">
        <v>109</v>
      </c>
      <c r="I87" s="7" t="str">
        <f>PROPER(Tabela1[[#This Row],[regiao]])</f>
        <v>Gargalo</v>
      </c>
      <c r="J87" s="8">
        <v>9100</v>
      </c>
      <c r="K87" s="9">
        <v>40500</v>
      </c>
      <c r="L87" s="2" t="s">
        <v>86</v>
      </c>
      <c r="M87" s="2">
        <v>35</v>
      </c>
      <c r="N87" s="2" t="str" cm="1">
        <f t="array" ref="N87">_xlfn.IFS(Tabela1[[#This Row],[qtde_]]="N/A", "N/A",Tabela1[[#This Row],[qtde_]]&lt;11,"BAIXO",Tabela1[[#This Row],[qtde_]]&lt;26,"MÉDIO",Tabela1[[#This Row],[qtde_]]&gt;=26,"ALTO")</f>
        <v>ALTO</v>
      </c>
      <c r="O87" s="12" t="str">
        <f>IF(AND(Tabela1[[#This Row],[nivel_risco]]="ALTO",Tabela1[[#This Row],[flag_inadimplente]] = "Sim"),"negada","aprovada")</f>
        <v>aprovada</v>
      </c>
      <c r="P87" s="12" t="str">
        <f>IF(AND(Tabela1[[#This Row],[credito_tomado]]&gt;50000,Tabela1[[#This Row],[flag_inadimplente]]="Sim"),"negada","aprovada")</f>
        <v>aprovada</v>
      </c>
      <c r="Q87" s="6">
        <v>53000</v>
      </c>
      <c r="R87" s="12" cm="1">
        <f t="array" ref="R8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4240</v>
      </c>
    </row>
    <row r="88" spans="1:18" ht="15.75" customHeight="1" x14ac:dyDescent="0.2">
      <c r="A88" s="2" t="s">
        <v>80</v>
      </c>
      <c r="B88" s="7" t="s">
        <v>282</v>
      </c>
      <c r="C88" s="1" t="s">
        <v>283</v>
      </c>
      <c r="D88" s="1" t="str">
        <f>TEXT(C88,"000\.000\.000\-00")</f>
        <v>000.000.146-00</v>
      </c>
      <c r="E88" s="2">
        <v>22</v>
      </c>
      <c r="F88" s="3">
        <v>38079</v>
      </c>
      <c r="G88" s="2" t="s">
        <v>104</v>
      </c>
      <c r="H88" s="7" t="s">
        <v>105</v>
      </c>
      <c r="I88" s="7" t="str">
        <f>PROPER(Tabela1[[#This Row],[regiao]])</f>
        <v>Terras Da Tempestade</v>
      </c>
      <c r="J88" s="8">
        <v>9200</v>
      </c>
      <c r="K88" s="9">
        <v>5000</v>
      </c>
      <c r="L88" s="2" t="s">
        <v>86</v>
      </c>
      <c r="M88" s="2">
        <v>42</v>
      </c>
      <c r="N88" s="2" t="str" cm="1">
        <f t="array" ref="N88">_xlfn.IFS(Tabela1[[#This Row],[qtde_]]="N/A", "N/A",Tabela1[[#This Row],[qtde_]]&lt;11,"BAIXO",Tabela1[[#This Row],[qtde_]]&lt;26,"MÉDIO",Tabela1[[#This Row],[qtde_]]&gt;=26,"ALTO")</f>
        <v>ALTO</v>
      </c>
      <c r="O88" s="12" t="str">
        <f>IF(AND(Tabela1[[#This Row],[nivel_risco]]="ALTO",Tabela1[[#This Row],[flag_inadimplente]] = "Sim"),"negada","aprovada")</f>
        <v>aprovada</v>
      </c>
      <c r="P88" s="12" t="str">
        <f>IF(AND(Tabela1[[#This Row],[credito_tomado]]&gt;50000,Tabela1[[#This Row],[flag_inadimplente]]="Sim"),"negada","aprovada")</f>
        <v>aprovada</v>
      </c>
      <c r="Q88" s="6">
        <v>63500</v>
      </c>
      <c r="R88" s="12" cm="1">
        <f t="array" ref="R8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5080</v>
      </c>
    </row>
    <row r="89" spans="1:18" ht="15.75" customHeight="1" x14ac:dyDescent="0.2">
      <c r="A89" s="2" t="s">
        <v>80</v>
      </c>
      <c r="B89" s="7" t="s">
        <v>284</v>
      </c>
      <c r="C89" s="1">
        <v>15900</v>
      </c>
      <c r="D89" s="1" t="str">
        <f>TEXT(C89,"000\.000\.000\-00")</f>
        <v>000.000.159-00</v>
      </c>
      <c r="E89" s="2">
        <v>26</v>
      </c>
      <c r="F89" s="3">
        <v>36411</v>
      </c>
      <c r="G89" s="2" t="s">
        <v>153</v>
      </c>
      <c r="H89" s="7" t="s">
        <v>141</v>
      </c>
      <c r="I89" s="7" t="str">
        <f>PROPER(Tabela1[[#This Row],[regiao]])</f>
        <v>Terras Fluviais</v>
      </c>
      <c r="J89" s="8">
        <v>9200</v>
      </c>
      <c r="K89" s="9">
        <v>68500</v>
      </c>
      <c r="L89" s="2" t="s">
        <v>86</v>
      </c>
      <c r="M89" s="2">
        <v>27</v>
      </c>
      <c r="N89" s="2" t="str" cm="1">
        <f t="array" ref="N89">_xlfn.IFS(Tabela1[[#This Row],[qtde_]]="N/A", "N/A",Tabela1[[#This Row],[qtde_]]&lt;11,"BAIXO",Tabela1[[#This Row],[qtde_]]&lt;26,"MÉDIO",Tabela1[[#This Row],[qtde_]]&gt;=26,"ALTO")</f>
        <v>ALTO</v>
      </c>
      <c r="O89" s="12" t="str">
        <f>IF(AND(Tabela1[[#This Row],[nivel_risco]]="ALTO",Tabela1[[#This Row],[flag_inadimplente]] = "Sim"),"negada","aprovada")</f>
        <v>aprovada</v>
      </c>
      <c r="P89" s="12" t="str">
        <f>IF(AND(Tabela1[[#This Row],[credito_tomado]]&gt;50000,Tabela1[[#This Row],[flag_inadimplente]]="Sim"),"negada","aprovada")</f>
        <v>aprovada</v>
      </c>
      <c r="Q89" s="6">
        <v>7000</v>
      </c>
      <c r="R89" s="12" cm="1">
        <f t="array" ref="R8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560</v>
      </c>
    </row>
    <row r="90" spans="1:18" ht="15.75" customHeight="1" x14ac:dyDescent="0.2">
      <c r="A90" s="2" t="s">
        <v>96</v>
      </c>
      <c r="B90" s="7" t="s">
        <v>285</v>
      </c>
      <c r="C90" s="1" t="s">
        <v>286</v>
      </c>
      <c r="D90" s="1" t="str">
        <f>TEXT(C90,"000\.000\.000\-00")</f>
        <v>000.000.173-00</v>
      </c>
      <c r="E90" s="2">
        <v>63</v>
      </c>
      <c r="F90" s="3">
        <v>23119</v>
      </c>
      <c r="G90" s="2" t="s">
        <v>144</v>
      </c>
      <c r="H90" s="7" t="s">
        <v>177</v>
      </c>
      <c r="I90" s="7" t="str">
        <f>PROPER(Tabela1[[#This Row],[regiao]])</f>
        <v>Vale</v>
      </c>
      <c r="J90" s="8">
        <v>9300</v>
      </c>
      <c r="K90" s="9">
        <v>48500</v>
      </c>
      <c r="L90" s="2" t="s">
        <v>86</v>
      </c>
      <c r="M90" s="2">
        <v>28</v>
      </c>
      <c r="N90" s="2" t="str" cm="1">
        <f t="array" ref="N90">_xlfn.IFS(Tabela1[[#This Row],[qtde_]]="N/A", "N/A",Tabela1[[#This Row],[qtde_]]&lt;11,"BAIXO",Tabela1[[#This Row],[qtde_]]&lt;26,"MÉDIO",Tabela1[[#This Row],[qtde_]]&gt;=26,"ALTO")</f>
        <v>ALTO</v>
      </c>
      <c r="O90" s="12" t="str">
        <f>IF(AND(Tabela1[[#This Row],[nivel_risco]]="ALTO",Tabela1[[#This Row],[flag_inadimplente]] = "Sim"),"negada","aprovada")</f>
        <v>aprovada</v>
      </c>
      <c r="P90" s="12" t="str">
        <f>IF(AND(Tabela1[[#This Row],[credito_tomado]]&gt;50000,Tabela1[[#This Row],[flag_inadimplente]]="Sim"),"negada","aprovada")</f>
        <v>aprovada</v>
      </c>
      <c r="Q90" s="6">
        <v>20000</v>
      </c>
      <c r="R90" s="12" t="e" cm="1">
        <f t="array" ref="R9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91" spans="1:18" ht="15.75" customHeight="1" x14ac:dyDescent="0.2">
      <c r="A91" s="2" t="s">
        <v>80</v>
      </c>
      <c r="B91" s="7" t="s">
        <v>287</v>
      </c>
      <c r="C91" s="1" t="s">
        <v>288</v>
      </c>
      <c r="D91" s="1" t="str">
        <f>TEXT(C91,"000\.000\.000\-00")</f>
        <v>000.000.256-00</v>
      </c>
      <c r="E91" s="2">
        <v>39</v>
      </c>
      <c r="F91" s="3">
        <v>31814</v>
      </c>
      <c r="G91" s="2" t="s">
        <v>156</v>
      </c>
      <c r="H91" s="7" t="s">
        <v>113</v>
      </c>
      <c r="I91" s="7" t="str">
        <f>PROPER(Tabela1[[#This Row],[regiao]])</f>
        <v>Norte</v>
      </c>
      <c r="J91" s="8">
        <v>9300</v>
      </c>
      <c r="K91" s="9">
        <v>36500</v>
      </c>
      <c r="L91" s="2" t="s">
        <v>86</v>
      </c>
      <c r="M91" s="2" t="s">
        <v>83</v>
      </c>
      <c r="N91" s="2" t="str" cm="1">
        <f t="array" ref="N91">_xlfn.IFS(Tabela1[[#This Row],[qtde_]]="N/A", "N/A",Tabela1[[#This Row],[qtde_]]&lt;11,"BAIXO",Tabela1[[#This Row],[qtde_]]&lt;26,"MÉDIO",Tabela1[[#This Row],[qtde_]]&gt;=26,"ALTO")</f>
        <v>N/A</v>
      </c>
      <c r="O91" s="12" t="str">
        <f>IF(AND(Tabela1[[#This Row],[nivel_risco]]="ALTO",Tabela1[[#This Row],[flag_inadimplente]] = "Sim"),"negada","aprovada")</f>
        <v>aprovada</v>
      </c>
      <c r="P91" s="12" t="str">
        <f>IF(AND(Tabela1[[#This Row],[credito_tomado]]&gt;50000,Tabela1[[#This Row],[flag_inadimplente]]="Sim"),"negada","aprovada")</f>
        <v>aprovada</v>
      </c>
      <c r="Q91" s="6">
        <v>3000</v>
      </c>
      <c r="R91" s="12" t="str" cm="1">
        <f t="array" ref="R9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92" spans="1:18" ht="15.75" customHeight="1" x14ac:dyDescent="0.2">
      <c r="A92" s="2" t="s">
        <v>80</v>
      </c>
      <c r="B92" s="7" t="s">
        <v>289</v>
      </c>
      <c r="C92" s="1">
        <v>31900</v>
      </c>
      <c r="D92" s="1" t="str">
        <f>TEXT(C92,"000\.000\.000\-00")</f>
        <v>000.000.319-00</v>
      </c>
      <c r="E92" s="2">
        <v>20</v>
      </c>
      <c r="F92" s="3">
        <v>38678</v>
      </c>
      <c r="G92" s="2" t="s">
        <v>124</v>
      </c>
      <c r="H92" s="7" t="s">
        <v>139</v>
      </c>
      <c r="I92" s="7" t="str">
        <f>PROPER(Tabela1[[#This Row],[regiao]])</f>
        <v>Essos</v>
      </c>
      <c r="J92" s="8">
        <v>9300</v>
      </c>
      <c r="K92" s="9">
        <v>35000</v>
      </c>
      <c r="L92" s="2" t="s">
        <v>86</v>
      </c>
      <c r="M92" s="2">
        <v>5</v>
      </c>
      <c r="N92" s="2" t="str" cm="1">
        <f t="array" ref="N92">_xlfn.IFS(Tabela1[[#This Row],[qtde_]]="N/A", "N/A",Tabela1[[#This Row],[qtde_]]&lt;11,"BAIXO",Tabela1[[#This Row],[qtde_]]&lt;26,"MÉDIO",Tabela1[[#This Row],[qtde_]]&gt;=26,"ALTO")</f>
        <v>BAIXO</v>
      </c>
      <c r="O92" s="12" t="str">
        <f>IF(AND(Tabela1[[#This Row],[nivel_risco]]="ALTO",Tabela1[[#This Row],[flag_inadimplente]] = "Sim"),"negada","aprovada")</f>
        <v>aprovada</v>
      </c>
      <c r="P92" s="12" t="str">
        <f>IF(AND(Tabela1[[#This Row],[credito_tomado]]&gt;50000,Tabela1[[#This Row],[flag_inadimplente]]="Sim"),"negada","aprovada")</f>
        <v>aprovada</v>
      </c>
      <c r="Q92" s="6">
        <v>10500</v>
      </c>
      <c r="R92" s="12" cm="1">
        <f t="array" ref="R9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840</v>
      </c>
    </row>
    <row r="93" spans="1:18" ht="15.75" customHeight="1" x14ac:dyDescent="0.2">
      <c r="A93" s="2" t="s">
        <v>80</v>
      </c>
      <c r="B93" s="7" t="s">
        <v>290</v>
      </c>
      <c r="C93" s="1">
        <v>22300</v>
      </c>
      <c r="D93" s="1" t="str">
        <f>TEXT(C93,"000\.000\.000\-00")</f>
        <v>000.000.223-00</v>
      </c>
      <c r="E93" s="2">
        <v>25</v>
      </c>
      <c r="F93" s="3">
        <v>36831</v>
      </c>
      <c r="G93" s="2" t="s">
        <v>206</v>
      </c>
      <c r="H93" s="7" t="s">
        <v>85</v>
      </c>
      <c r="I93" s="7" t="str">
        <f>PROPER(Tabela1[[#This Row],[regiao]])</f>
        <v>Campina</v>
      </c>
      <c r="J93" s="8">
        <v>9400</v>
      </c>
      <c r="K93" s="9">
        <v>51500</v>
      </c>
      <c r="L93" s="2" t="s">
        <v>86</v>
      </c>
      <c r="M93" s="2">
        <v>14</v>
      </c>
      <c r="N93" s="2" t="str" cm="1">
        <f t="array" ref="N93">_xlfn.IFS(Tabela1[[#This Row],[qtde_]]="N/A", "N/A",Tabela1[[#This Row],[qtde_]]&lt;11,"BAIXO",Tabela1[[#This Row],[qtde_]]&lt;26,"MÉDIO",Tabela1[[#This Row],[qtde_]]&gt;=26,"ALTO")</f>
        <v>MÉDIO</v>
      </c>
      <c r="O93" s="12" t="str">
        <f>IF(AND(Tabela1[[#This Row],[nivel_risco]]="ALTO",Tabela1[[#This Row],[flag_inadimplente]] = "Sim"),"negada","aprovada")</f>
        <v>aprovada</v>
      </c>
      <c r="P93" s="12" t="str">
        <f>IF(AND(Tabela1[[#This Row],[credito_tomado]]&gt;50000,Tabela1[[#This Row],[flag_inadimplente]]="Sim"),"negada","aprovada")</f>
        <v>aprovada</v>
      </c>
      <c r="Q93" s="6">
        <v>29500</v>
      </c>
      <c r="R93" s="12" cm="1">
        <f t="array" ref="R9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2360</v>
      </c>
    </row>
    <row r="94" spans="1:18" ht="15.75" customHeight="1" x14ac:dyDescent="0.2">
      <c r="A94" s="2" t="s">
        <v>80</v>
      </c>
      <c r="B94" s="7" t="s">
        <v>290</v>
      </c>
      <c r="C94" s="1">
        <v>22300</v>
      </c>
      <c r="D94" s="1" t="str">
        <f>TEXT(C94,"000\.000\.000\-00")</f>
        <v>000.000.223-00</v>
      </c>
      <c r="E94" s="2">
        <v>25</v>
      </c>
      <c r="F94" s="3">
        <v>36831</v>
      </c>
      <c r="G94" s="2" t="s">
        <v>206</v>
      </c>
      <c r="H94" s="7" t="s">
        <v>85</v>
      </c>
      <c r="I94" s="7" t="str">
        <f>PROPER(Tabela1[[#This Row],[regiao]])</f>
        <v>Campina</v>
      </c>
      <c r="J94" s="8">
        <v>9400</v>
      </c>
      <c r="K94" s="9">
        <v>51500</v>
      </c>
      <c r="L94" s="2" t="s">
        <v>86</v>
      </c>
      <c r="M94" s="2">
        <v>14</v>
      </c>
      <c r="N94" s="2" t="str" cm="1">
        <f t="array" ref="N94">_xlfn.IFS(Tabela1[[#This Row],[qtde_]]="N/A", "N/A",Tabela1[[#This Row],[qtde_]]&lt;11,"BAIXO",Tabela1[[#This Row],[qtde_]]&lt;26,"MÉDIO",Tabela1[[#This Row],[qtde_]]&gt;=26,"ALTO")</f>
        <v>MÉDIO</v>
      </c>
      <c r="O94" s="12" t="str">
        <f>IF(AND(Tabela1[[#This Row],[nivel_risco]]="ALTO",Tabela1[[#This Row],[flag_inadimplente]] = "Sim"),"negada","aprovada")</f>
        <v>aprovada</v>
      </c>
      <c r="P94" s="12" t="str">
        <f>IF(AND(Tabela1[[#This Row],[credito_tomado]]&gt;50000,Tabela1[[#This Row],[flag_inadimplente]]="Sim"),"negada","aprovada")</f>
        <v>aprovada</v>
      </c>
      <c r="Q94" s="6">
        <v>74000</v>
      </c>
      <c r="R94" s="12" cm="1">
        <f t="array" ref="R9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5920</v>
      </c>
    </row>
    <row r="95" spans="1:18" ht="15.75" customHeight="1" x14ac:dyDescent="0.2">
      <c r="A95" s="2" t="s">
        <v>96</v>
      </c>
      <c r="B95" s="7" t="s">
        <v>291</v>
      </c>
      <c r="C95" s="1" t="s">
        <v>292</v>
      </c>
      <c r="D95" s="1" t="str">
        <f>TEXT(C95,"000\.000\.000\-00")</f>
        <v>000.000.158-00</v>
      </c>
      <c r="E95" s="2">
        <v>57</v>
      </c>
      <c r="F95" s="3">
        <v>25324</v>
      </c>
      <c r="G95" s="2" t="s">
        <v>156</v>
      </c>
      <c r="H95" s="7" t="s">
        <v>100</v>
      </c>
      <c r="I95" s="7" t="str">
        <f>PROPER(Tabela1[[#This Row],[regiao]])</f>
        <v>Norte</v>
      </c>
      <c r="J95" s="8">
        <v>9500</v>
      </c>
      <c r="K95" s="9">
        <v>58000</v>
      </c>
      <c r="L95" s="2" t="s">
        <v>86</v>
      </c>
      <c r="M95" s="2">
        <v>23</v>
      </c>
      <c r="N95" s="2" t="str" cm="1">
        <f t="array" ref="N95">_xlfn.IFS(Tabela1[[#This Row],[qtde_]]="N/A", "N/A",Tabela1[[#This Row],[qtde_]]&lt;11,"BAIXO",Tabela1[[#This Row],[qtde_]]&lt;26,"MÉDIO",Tabela1[[#This Row],[qtde_]]&gt;=26,"ALTO")</f>
        <v>MÉDIO</v>
      </c>
      <c r="O95" s="12" t="str">
        <f>IF(AND(Tabela1[[#This Row],[nivel_risco]]="ALTO",Tabela1[[#This Row],[flag_inadimplente]] = "Sim"),"negada","aprovada")</f>
        <v>aprovada</v>
      </c>
      <c r="P95" s="12" t="str">
        <f>IF(AND(Tabela1[[#This Row],[credito_tomado]]&gt;50000,Tabela1[[#This Row],[flag_inadimplente]]="Sim"),"negada","aprovada")</f>
        <v>aprovada</v>
      </c>
      <c r="Q95" s="6">
        <v>81500</v>
      </c>
      <c r="R95" s="12" t="e" cm="1">
        <f t="array" ref="R9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96" spans="1:18" ht="15.75" customHeight="1" x14ac:dyDescent="0.2">
      <c r="A96" s="2" t="s">
        <v>80</v>
      </c>
      <c r="B96" s="7" t="s">
        <v>293</v>
      </c>
      <c r="C96" s="1" t="s">
        <v>294</v>
      </c>
      <c r="D96" s="1" t="str">
        <f>TEXT(C96,"000\.000\.000\-00")</f>
        <v>000.000.202-00</v>
      </c>
      <c r="E96" s="2">
        <v>53</v>
      </c>
      <c r="F96" s="3">
        <v>26840</v>
      </c>
      <c r="G96" s="2" t="s">
        <v>259</v>
      </c>
      <c r="H96" s="10" t="s">
        <v>113</v>
      </c>
      <c r="I96" s="10" t="str">
        <f>PROPER(Tabela1[[#This Row],[regiao]])</f>
        <v>Norte</v>
      </c>
      <c r="J96" s="8">
        <v>9500</v>
      </c>
      <c r="K96" s="9">
        <v>66500</v>
      </c>
      <c r="L96" s="2" t="s">
        <v>101</v>
      </c>
      <c r="M96" s="2">
        <v>38</v>
      </c>
      <c r="N96" s="2" t="str" cm="1">
        <f t="array" ref="N96">_xlfn.IFS(Tabela1[[#This Row],[qtde_]]="N/A", "N/A",Tabela1[[#This Row],[qtde_]]&lt;11,"BAIXO",Tabela1[[#This Row],[qtde_]]&lt;26,"MÉDIO",Tabela1[[#This Row],[qtde_]]&gt;=26,"ALTO")</f>
        <v>ALTO</v>
      </c>
      <c r="O96" s="12" t="str">
        <f>IF(AND(Tabela1[[#This Row],[nivel_risco]]="ALTO",Tabela1[[#This Row],[flag_inadimplente]] = "Sim"),"negada","aprovada")</f>
        <v>negada</v>
      </c>
      <c r="P96" s="12" t="str">
        <f>IF(AND(Tabela1[[#This Row],[credito_tomado]]&gt;50000,Tabela1[[#This Row],[flag_inadimplente]]="Sim"),"negada","aprovada")</f>
        <v>negada</v>
      </c>
      <c r="Q96" s="6">
        <v>42500</v>
      </c>
      <c r="R96" s="12" t="str" cm="1">
        <f t="array" ref="R9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97" spans="1:18" ht="15.75" customHeight="1" x14ac:dyDescent="0.2">
      <c r="A97" s="2" t="s">
        <v>80</v>
      </c>
      <c r="B97" s="7" t="s">
        <v>295</v>
      </c>
      <c r="C97" s="1" t="s">
        <v>296</v>
      </c>
      <c r="D97" s="1" t="str">
        <f>TEXT(C97,"000\.000\.000\-00")</f>
        <v>000.000.224-00</v>
      </c>
      <c r="E97" s="2">
        <v>55</v>
      </c>
      <c r="F97" s="3">
        <v>26103</v>
      </c>
      <c r="G97" s="2" t="s">
        <v>104</v>
      </c>
      <c r="H97" s="7" t="s">
        <v>105</v>
      </c>
      <c r="I97" s="7" t="str">
        <f>PROPER(Tabela1[[#This Row],[regiao]])</f>
        <v>Terras Da Tempestade</v>
      </c>
      <c r="J97" s="8">
        <v>9600</v>
      </c>
      <c r="K97" s="9">
        <v>43000</v>
      </c>
      <c r="L97" s="2" t="s">
        <v>86</v>
      </c>
      <c r="M97" s="2">
        <v>36</v>
      </c>
      <c r="N97" s="2" t="str" cm="1">
        <f t="array" ref="N97">_xlfn.IFS(Tabela1[[#This Row],[qtde_]]="N/A", "N/A",Tabela1[[#This Row],[qtde_]]&lt;11,"BAIXO",Tabela1[[#This Row],[qtde_]]&lt;26,"MÉDIO",Tabela1[[#This Row],[qtde_]]&gt;=26,"ALTO")</f>
        <v>ALTO</v>
      </c>
      <c r="O97" s="12" t="str">
        <f>IF(AND(Tabela1[[#This Row],[nivel_risco]]="ALTO",Tabela1[[#This Row],[flag_inadimplente]] = "Sim"),"negada","aprovada")</f>
        <v>aprovada</v>
      </c>
      <c r="P97" s="12" t="str">
        <f>IF(AND(Tabela1[[#This Row],[credito_tomado]]&gt;50000,Tabela1[[#This Row],[flag_inadimplente]]="Sim"),"negada","aprovada")</f>
        <v>aprovada</v>
      </c>
      <c r="Q97" s="6">
        <v>67500</v>
      </c>
      <c r="R97" s="12" cm="1">
        <f t="array" ref="R9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5400</v>
      </c>
    </row>
    <row r="98" spans="1:18" ht="15.75" customHeight="1" x14ac:dyDescent="0.2">
      <c r="A98" s="2" t="s">
        <v>80</v>
      </c>
      <c r="B98" s="7" t="s">
        <v>297</v>
      </c>
      <c r="C98" s="1">
        <v>25200</v>
      </c>
      <c r="D98" s="1" t="str">
        <f>TEXT(C98,"000\.000\.000\-00")</f>
        <v>000.000.252-00</v>
      </c>
      <c r="E98" s="2">
        <v>44</v>
      </c>
      <c r="F98" s="3">
        <v>30081</v>
      </c>
      <c r="G98" s="2" t="s">
        <v>124</v>
      </c>
      <c r="H98" s="7" t="s">
        <v>139</v>
      </c>
      <c r="I98" s="7" t="str">
        <f>PROPER(Tabela1[[#This Row],[regiao]])</f>
        <v>Essos</v>
      </c>
      <c r="J98" s="8">
        <v>9600</v>
      </c>
      <c r="K98" s="9">
        <v>66000</v>
      </c>
      <c r="L98" s="2" t="s">
        <v>83</v>
      </c>
      <c r="M98" s="2">
        <v>11</v>
      </c>
      <c r="N98" s="2" t="str" cm="1">
        <f t="array" ref="N98">_xlfn.IFS(Tabela1[[#This Row],[qtde_]]="N/A", "N/A",Tabela1[[#This Row],[qtde_]]&lt;11,"BAIXO",Tabela1[[#This Row],[qtde_]]&lt;26,"MÉDIO",Tabela1[[#This Row],[qtde_]]&gt;=26,"ALTO")</f>
        <v>MÉDIO</v>
      </c>
      <c r="O98" s="12" t="str">
        <f>IF(AND(Tabela1[[#This Row],[nivel_risco]]="ALTO",Tabela1[[#This Row],[flag_inadimplente]] = "Sim"),"negada","aprovada")</f>
        <v>aprovada</v>
      </c>
      <c r="P98" s="12" t="str">
        <f>IF(AND(Tabela1[[#This Row],[credito_tomado]]&gt;50000,Tabela1[[#This Row],[flag_inadimplente]]="Sim"),"negada","aprovada")</f>
        <v>aprovada</v>
      </c>
      <c r="Q98" s="6">
        <v>4500</v>
      </c>
      <c r="R98" s="12" t="str" cm="1">
        <f t="array" ref="R9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99" spans="1:18" ht="15.75" customHeight="1" x14ac:dyDescent="0.2">
      <c r="A99" s="2" t="s">
        <v>80</v>
      </c>
      <c r="B99" s="7" t="s">
        <v>298</v>
      </c>
      <c r="C99" s="1" t="s">
        <v>299</v>
      </c>
      <c r="D99" s="1" t="str">
        <f>TEXT(C99,"000\.000\.000\-00")</f>
        <v>000.000.246-00</v>
      </c>
      <c r="E99" s="2" t="s">
        <v>83</v>
      </c>
      <c r="F99" s="3">
        <v>35600</v>
      </c>
      <c r="G99" s="2" t="s">
        <v>132</v>
      </c>
      <c r="H99" s="7" t="s">
        <v>141</v>
      </c>
      <c r="I99" s="7" t="str">
        <f>PROPER(Tabela1[[#This Row],[regiao]])</f>
        <v>Terras Fluviais</v>
      </c>
      <c r="J99" s="8">
        <v>9600</v>
      </c>
      <c r="K99" s="9">
        <v>41000</v>
      </c>
      <c r="L99" s="2" t="s">
        <v>86</v>
      </c>
      <c r="M99" s="2">
        <v>27</v>
      </c>
      <c r="N99" s="2" t="str" cm="1">
        <f t="array" ref="N99">_xlfn.IFS(Tabela1[[#This Row],[qtde_]]="N/A", "N/A",Tabela1[[#This Row],[qtde_]]&lt;11,"BAIXO",Tabela1[[#This Row],[qtde_]]&lt;26,"MÉDIO",Tabela1[[#This Row],[qtde_]]&gt;=26,"ALTO")</f>
        <v>ALTO</v>
      </c>
      <c r="O99" s="12" t="str">
        <f>IF(AND(Tabela1[[#This Row],[nivel_risco]]="ALTO",Tabela1[[#This Row],[flag_inadimplente]] = "Sim"),"negada","aprovada")</f>
        <v>aprovada</v>
      </c>
      <c r="P99" s="12" t="str">
        <f>IF(AND(Tabela1[[#This Row],[credito_tomado]]&gt;50000,Tabela1[[#This Row],[flag_inadimplente]]="Sim"),"negada","aprovada")</f>
        <v>aprovada</v>
      </c>
      <c r="Q99" s="6">
        <v>25000</v>
      </c>
      <c r="R99" s="12" cm="1">
        <f t="array" ref="R9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2000</v>
      </c>
    </row>
    <row r="100" spans="1:18" ht="15.75" customHeight="1" x14ac:dyDescent="0.2">
      <c r="A100" s="2" t="s">
        <v>80</v>
      </c>
      <c r="B100" s="7" t="s">
        <v>300</v>
      </c>
      <c r="C100" s="1">
        <v>23300</v>
      </c>
      <c r="D100" s="1" t="str">
        <f>TEXT(C100,"000\.000\.000\-00")</f>
        <v>000.000.233-00</v>
      </c>
      <c r="E100" s="2">
        <v>38</v>
      </c>
      <c r="F100" s="3">
        <v>32066</v>
      </c>
      <c r="G100" s="2" t="s">
        <v>138</v>
      </c>
      <c r="H100" s="7" t="s">
        <v>139</v>
      </c>
      <c r="I100" s="7" t="str">
        <f>PROPER(Tabela1[[#This Row],[regiao]])</f>
        <v>Essos</v>
      </c>
      <c r="J100" s="8">
        <v>9700</v>
      </c>
      <c r="K100" s="9">
        <v>25000</v>
      </c>
      <c r="L100" s="2" t="s">
        <v>86</v>
      </c>
      <c r="M100" s="2">
        <v>0</v>
      </c>
      <c r="N100" s="2" t="str" cm="1">
        <f t="array" ref="N100">_xlfn.IFS(Tabela1[[#This Row],[qtde_]]="N/A", "N/A",Tabela1[[#This Row],[qtde_]]&lt;11,"BAIXO",Tabela1[[#This Row],[qtde_]]&lt;26,"MÉDIO",Tabela1[[#This Row],[qtde_]]&gt;=26,"ALTO")</f>
        <v>BAIXO</v>
      </c>
      <c r="O100" s="12" t="str">
        <f>IF(AND(Tabela1[[#This Row],[nivel_risco]]="ALTO",Tabela1[[#This Row],[flag_inadimplente]] = "Sim"),"negada","aprovada")</f>
        <v>aprovada</v>
      </c>
      <c r="P100" s="12" t="str">
        <f>IF(AND(Tabela1[[#This Row],[credito_tomado]]&gt;50000,Tabela1[[#This Row],[flag_inadimplente]]="Sim"),"negada","aprovada")</f>
        <v>aprovada</v>
      </c>
      <c r="Q100" s="6">
        <v>55500</v>
      </c>
      <c r="R100" s="12" cm="1">
        <f t="array" ref="R10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4440</v>
      </c>
    </row>
    <row r="101" spans="1:18" ht="15.75" customHeight="1" x14ac:dyDescent="0.2">
      <c r="A101" s="2" t="s">
        <v>80</v>
      </c>
      <c r="B101" s="7" t="s">
        <v>301</v>
      </c>
      <c r="C101" s="1" t="s">
        <v>302</v>
      </c>
      <c r="D101" s="1" t="str">
        <f>TEXT(C101,"000\.000\.000\-00")</f>
        <v>000.000.046-00</v>
      </c>
      <c r="E101" s="2">
        <v>32</v>
      </c>
      <c r="F101" s="3">
        <v>34508</v>
      </c>
      <c r="G101" s="2" t="s">
        <v>115</v>
      </c>
      <c r="H101" s="7" t="s">
        <v>115</v>
      </c>
      <c r="I101" s="7" t="str">
        <f>PROPER(Tabela1[[#This Row],[regiao]])</f>
        <v>Dorne</v>
      </c>
      <c r="J101" s="8">
        <v>9800</v>
      </c>
      <c r="K101" s="9">
        <v>0</v>
      </c>
      <c r="L101" s="2" t="s">
        <v>86</v>
      </c>
      <c r="M101" s="2">
        <v>23</v>
      </c>
      <c r="N101" s="2" t="str" cm="1">
        <f t="array" ref="N101">_xlfn.IFS(Tabela1[[#This Row],[qtde_]]="N/A", "N/A",Tabela1[[#This Row],[qtde_]]&lt;11,"BAIXO",Tabela1[[#This Row],[qtde_]]&lt;26,"MÉDIO",Tabela1[[#This Row],[qtde_]]&gt;=26,"ALTO")</f>
        <v>MÉDIO</v>
      </c>
      <c r="O101" s="12" t="str">
        <f>IF(AND(Tabela1[[#This Row],[nivel_risco]]="ALTO",Tabela1[[#This Row],[flag_inadimplente]] = "Sim"),"negada","aprovada")</f>
        <v>aprovada</v>
      </c>
      <c r="P101" s="12" t="str">
        <f>IF(AND(Tabela1[[#This Row],[credito_tomado]]&gt;50000,Tabela1[[#This Row],[flag_inadimplente]]="Sim"),"negada","aprovada")</f>
        <v>aprovada</v>
      </c>
      <c r="Q101" s="6">
        <v>68000</v>
      </c>
      <c r="R101" s="12" cm="1">
        <f t="array" ref="R10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5440</v>
      </c>
    </row>
    <row r="102" spans="1:18" ht="15.75" customHeight="1" x14ac:dyDescent="0.2">
      <c r="A102" s="2" t="s">
        <v>80</v>
      </c>
      <c r="B102" s="7" t="s">
        <v>303</v>
      </c>
      <c r="C102" s="1" t="s">
        <v>234</v>
      </c>
      <c r="D102" s="1" t="str">
        <f>TEXT(C102,"000\.000\.000\-00")</f>
        <v>000.000.120-00</v>
      </c>
      <c r="E102" s="2">
        <v>40</v>
      </c>
      <c r="F102" s="3">
        <v>31539</v>
      </c>
      <c r="G102" s="2" t="s">
        <v>99</v>
      </c>
      <c r="H102" s="7" t="s">
        <v>113</v>
      </c>
      <c r="I102" s="7" t="str">
        <f>PROPER(Tabela1[[#This Row],[regiao]])</f>
        <v>Norte</v>
      </c>
      <c r="J102" s="8">
        <v>9900</v>
      </c>
      <c r="K102" s="9">
        <v>3500</v>
      </c>
      <c r="L102" s="2" t="s">
        <v>86</v>
      </c>
      <c r="M102" s="2">
        <v>1</v>
      </c>
      <c r="N102" s="2" t="str" cm="1">
        <f t="array" ref="N102">_xlfn.IFS(Tabela1[[#This Row],[qtde_]]="N/A", "N/A",Tabela1[[#This Row],[qtde_]]&lt;11,"BAIXO",Tabela1[[#This Row],[qtde_]]&lt;26,"MÉDIO",Tabela1[[#This Row],[qtde_]]&gt;=26,"ALTO")</f>
        <v>BAIXO</v>
      </c>
      <c r="O102" s="12" t="str">
        <f>IF(AND(Tabela1[[#This Row],[nivel_risco]]="ALTO",Tabela1[[#This Row],[flag_inadimplente]] = "Sim"),"negada","aprovada")</f>
        <v>aprovada</v>
      </c>
      <c r="P102" s="12" t="str">
        <f>IF(AND(Tabela1[[#This Row],[credito_tomado]]&gt;50000,Tabela1[[#This Row],[flag_inadimplente]]="Sim"),"negada","aprovada")</f>
        <v>aprovada</v>
      </c>
      <c r="Q102" s="6">
        <v>23500</v>
      </c>
      <c r="R102" s="12" cm="1">
        <f t="array" ref="R10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1880</v>
      </c>
    </row>
    <row r="103" spans="1:18" ht="15.75" customHeight="1" x14ac:dyDescent="0.2">
      <c r="A103" s="2" t="s">
        <v>96</v>
      </c>
      <c r="B103" s="7" t="s">
        <v>304</v>
      </c>
      <c r="C103" s="1">
        <v>27300</v>
      </c>
      <c r="D103" s="1" t="str">
        <f>TEXT(C103,"000\.000\.000\-00")</f>
        <v>000.000.273-00</v>
      </c>
      <c r="E103" s="2">
        <v>66</v>
      </c>
      <c r="F103" s="3">
        <v>21873</v>
      </c>
      <c r="G103" s="2" t="s">
        <v>99</v>
      </c>
      <c r="H103" s="7" t="s">
        <v>113</v>
      </c>
      <c r="I103" s="7" t="str">
        <f>PROPER(Tabela1[[#This Row],[regiao]])</f>
        <v>Norte</v>
      </c>
      <c r="J103" s="8">
        <v>9900</v>
      </c>
      <c r="K103" s="9">
        <v>42000</v>
      </c>
      <c r="L103" s="2" t="s">
        <v>86</v>
      </c>
      <c r="M103" s="2">
        <v>13</v>
      </c>
      <c r="N103" s="2" t="str" cm="1">
        <f t="array" ref="N103">_xlfn.IFS(Tabela1[[#This Row],[qtde_]]="N/A", "N/A",Tabela1[[#This Row],[qtde_]]&lt;11,"BAIXO",Tabela1[[#This Row],[qtde_]]&lt;26,"MÉDIO",Tabela1[[#This Row],[qtde_]]&gt;=26,"ALTO")</f>
        <v>MÉDIO</v>
      </c>
      <c r="O103" s="12" t="str">
        <f>IF(AND(Tabela1[[#This Row],[nivel_risco]]="ALTO",Tabela1[[#This Row],[flag_inadimplente]] = "Sim"),"negada","aprovada")</f>
        <v>aprovada</v>
      </c>
      <c r="P103" s="12" t="str">
        <f>IF(AND(Tabela1[[#This Row],[credito_tomado]]&gt;50000,Tabela1[[#This Row],[flag_inadimplente]]="Sim"),"negada","aprovada")</f>
        <v>aprovada</v>
      </c>
      <c r="Q103" s="6">
        <v>37000</v>
      </c>
      <c r="R103" s="12" t="e" cm="1">
        <f t="array" ref="R10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04" spans="1:18" ht="15.75" customHeight="1" x14ac:dyDescent="0.2">
      <c r="A104" s="2" t="s">
        <v>80</v>
      </c>
      <c r="B104" s="7" t="s">
        <v>305</v>
      </c>
      <c r="C104" s="1" t="s">
        <v>306</v>
      </c>
      <c r="D104" s="1" t="str">
        <f>TEXT(C104,"000\.000\.000\-00")</f>
        <v>000.000.359-00</v>
      </c>
      <c r="E104" s="2">
        <v>29</v>
      </c>
      <c r="F104" s="3">
        <v>35600</v>
      </c>
      <c r="G104" s="2" t="s">
        <v>89</v>
      </c>
      <c r="H104" s="7" t="s">
        <v>53</v>
      </c>
      <c r="I104" s="7" t="str">
        <f>PROPER(Tabela1[[#This Row],[regiao]])</f>
        <v>Terras Da Coroa</v>
      </c>
      <c r="J104" s="8">
        <v>10000</v>
      </c>
      <c r="K104" s="9">
        <v>25500</v>
      </c>
      <c r="L104" s="2" t="s">
        <v>86</v>
      </c>
      <c r="M104" s="2">
        <v>15</v>
      </c>
      <c r="N104" s="2" t="str" cm="1">
        <f t="array" ref="N104">_xlfn.IFS(Tabela1[[#This Row],[qtde_]]="N/A", "N/A",Tabela1[[#This Row],[qtde_]]&lt;11,"BAIXO",Tabela1[[#This Row],[qtde_]]&lt;26,"MÉDIO",Tabela1[[#This Row],[qtde_]]&gt;=26,"ALTO")</f>
        <v>MÉDIO</v>
      </c>
      <c r="O104" s="12" t="str">
        <f>IF(AND(Tabela1[[#This Row],[nivel_risco]]="ALTO",Tabela1[[#This Row],[flag_inadimplente]] = "Sim"),"negada","aprovada")</f>
        <v>aprovada</v>
      </c>
      <c r="P104" s="12" t="str">
        <f>IF(AND(Tabela1[[#This Row],[credito_tomado]]&gt;50000,Tabela1[[#This Row],[flag_inadimplente]]="Sim"),"negada","aprovada")</f>
        <v>aprovada</v>
      </c>
      <c r="Q104" s="6">
        <v>66000</v>
      </c>
      <c r="R104" s="12" cm="1">
        <f t="array" ref="R10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5280</v>
      </c>
    </row>
    <row r="105" spans="1:18" ht="15.75" customHeight="1" x14ac:dyDescent="0.2">
      <c r="A105" s="2" t="s">
        <v>96</v>
      </c>
      <c r="B105" s="7" t="s">
        <v>307</v>
      </c>
      <c r="C105" s="1">
        <v>17500</v>
      </c>
      <c r="D105" s="1" t="str">
        <f>TEXT(C105,"000\.000\.000\-00")</f>
        <v>000.000.175-00</v>
      </c>
      <c r="E105" s="2">
        <v>60</v>
      </c>
      <c r="F105" s="3">
        <v>24091</v>
      </c>
      <c r="G105" s="2" t="s">
        <v>118</v>
      </c>
      <c r="H105" s="7" t="s">
        <v>119</v>
      </c>
      <c r="I105" s="7" t="str">
        <f>PROPER(Tabela1[[#This Row],[regiao]])</f>
        <v>Oeste</v>
      </c>
      <c r="J105" s="8">
        <v>10100</v>
      </c>
      <c r="K105" s="9">
        <v>55000</v>
      </c>
      <c r="L105" s="2" t="s">
        <v>86</v>
      </c>
      <c r="M105" s="2">
        <v>26</v>
      </c>
      <c r="N105" s="2" t="str" cm="1">
        <f t="array" ref="N105">_xlfn.IFS(Tabela1[[#This Row],[qtde_]]="N/A", "N/A",Tabela1[[#This Row],[qtde_]]&lt;11,"BAIXO",Tabela1[[#This Row],[qtde_]]&lt;26,"MÉDIO",Tabela1[[#This Row],[qtde_]]&gt;=26,"ALTO")</f>
        <v>ALTO</v>
      </c>
      <c r="O105" s="12" t="str">
        <f>IF(AND(Tabela1[[#This Row],[nivel_risco]]="ALTO",Tabela1[[#This Row],[flag_inadimplente]] = "Sim"),"negada","aprovada")</f>
        <v>aprovada</v>
      </c>
      <c r="P105" s="12" t="str">
        <f>IF(AND(Tabela1[[#This Row],[credito_tomado]]&gt;50000,Tabela1[[#This Row],[flag_inadimplente]]="Sim"),"negada","aprovada")</f>
        <v>aprovada</v>
      </c>
      <c r="Q105" s="6">
        <v>54000</v>
      </c>
      <c r="R105" s="12" t="e" cm="1">
        <f t="array" ref="R10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06" spans="1:18" ht="15.75" customHeight="1" x14ac:dyDescent="0.2">
      <c r="A106" s="2" t="s">
        <v>80</v>
      </c>
      <c r="B106" s="7" t="s">
        <v>308</v>
      </c>
      <c r="C106" s="1" t="s">
        <v>309</v>
      </c>
      <c r="D106" s="1" t="str">
        <f>TEXT(C106,"000\.000\.000\-00")</f>
        <v>000.000.210-00</v>
      </c>
      <c r="E106" s="2">
        <v>63</v>
      </c>
      <c r="F106" s="3">
        <v>23156</v>
      </c>
      <c r="G106" s="2" t="s">
        <v>94</v>
      </c>
      <c r="H106" s="7" t="s">
        <v>162</v>
      </c>
      <c r="I106" s="7" t="str">
        <f>PROPER(Tabela1[[#This Row],[regiao]])</f>
        <v>Ilhas De Ferro</v>
      </c>
      <c r="J106" s="8">
        <v>10400</v>
      </c>
      <c r="K106" s="9">
        <v>8500</v>
      </c>
      <c r="L106" s="2" t="s">
        <v>86</v>
      </c>
      <c r="M106" s="2">
        <v>39</v>
      </c>
      <c r="N106" s="2" t="str" cm="1">
        <f t="array" ref="N106">_xlfn.IFS(Tabela1[[#This Row],[qtde_]]="N/A", "N/A",Tabela1[[#This Row],[qtde_]]&lt;11,"BAIXO",Tabela1[[#This Row],[qtde_]]&lt;26,"MÉDIO",Tabela1[[#This Row],[qtde_]]&gt;=26,"ALTO")</f>
        <v>ALTO</v>
      </c>
      <c r="O106" s="12" t="str">
        <f>IF(AND(Tabela1[[#This Row],[nivel_risco]]="ALTO",Tabela1[[#This Row],[flag_inadimplente]] = "Sim"),"negada","aprovada")</f>
        <v>aprovada</v>
      </c>
      <c r="P106" s="12" t="str">
        <f>IF(AND(Tabela1[[#This Row],[credito_tomado]]&gt;50000,Tabela1[[#This Row],[flag_inadimplente]]="Sim"),"negada","aprovada")</f>
        <v>aprovada</v>
      </c>
      <c r="Q106" s="6">
        <v>36500</v>
      </c>
      <c r="R106" s="12" cm="1">
        <f t="array" ref="R10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2920</v>
      </c>
    </row>
    <row r="107" spans="1:18" ht="15.75" customHeight="1" x14ac:dyDescent="0.2">
      <c r="A107" s="2" t="s">
        <v>80</v>
      </c>
      <c r="B107" s="7" t="s">
        <v>310</v>
      </c>
      <c r="C107" s="1" t="s">
        <v>311</v>
      </c>
      <c r="D107" s="1" t="str">
        <f>TEXT(C107,"000\.000\.000\-00")</f>
        <v>000.000.164-00</v>
      </c>
      <c r="E107" s="2">
        <v>62</v>
      </c>
      <c r="F107" s="3">
        <v>23317</v>
      </c>
      <c r="G107" s="2" t="s">
        <v>267</v>
      </c>
      <c r="H107" s="7" t="s">
        <v>113</v>
      </c>
      <c r="I107" s="7" t="str">
        <f>PROPER(Tabela1[[#This Row],[regiao]])</f>
        <v>Norte</v>
      </c>
      <c r="J107" s="8">
        <v>10500</v>
      </c>
      <c r="K107" s="9">
        <v>0</v>
      </c>
      <c r="L107" s="2" t="s">
        <v>101</v>
      </c>
      <c r="M107" s="2">
        <v>4</v>
      </c>
      <c r="N107" s="2" t="str" cm="1">
        <f t="array" ref="N107">_xlfn.IFS(Tabela1[[#This Row],[qtde_]]="N/A", "N/A",Tabela1[[#This Row],[qtde_]]&lt;11,"BAIXO",Tabela1[[#This Row],[qtde_]]&lt;26,"MÉDIO",Tabela1[[#This Row],[qtde_]]&gt;=26,"ALTO")</f>
        <v>BAIXO</v>
      </c>
      <c r="O107" s="12" t="str">
        <f>IF(AND(Tabela1[[#This Row],[nivel_risco]]="ALTO",Tabela1[[#This Row],[flag_inadimplente]] = "Sim"),"negada","aprovada")</f>
        <v>aprovada</v>
      </c>
      <c r="P107" s="12" t="str">
        <f>IF(AND(Tabela1[[#This Row],[credito_tomado]]&gt;50000,Tabela1[[#This Row],[flag_inadimplente]]="Sim"),"negada","aprovada")</f>
        <v>aprovada</v>
      </c>
      <c r="Q107" s="6">
        <v>54500</v>
      </c>
      <c r="R107" s="12" cm="1">
        <f t="array" ref="R10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4360</v>
      </c>
    </row>
    <row r="108" spans="1:18" ht="15.75" customHeight="1" x14ac:dyDescent="0.2">
      <c r="A108" s="2" t="s">
        <v>80</v>
      </c>
      <c r="B108" s="7" t="s">
        <v>312</v>
      </c>
      <c r="C108" s="1" t="s">
        <v>313</v>
      </c>
      <c r="D108" s="1" t="str">
        <f>TEXT(C108,"000\.000\.000\-00")</f>
        <v>000.000.329-00</v>
      </c>
      <c r="E108" s="2">
        <v>22</v>
      </c>
      <c r="F108" s="3">
        <v>38204</v>
      </c>
      <c r="G108" s="2" t="s">
        <v>144</v>
      </c>
      <c r="H108" s="7" t="s">
        <v>145</v>
      </c>
      <c r="I108" s="7" t="str">
        <f>PROPER(Tabela1[[#This Row],[regiao]])</f>
        <v>Vale</v>
      </c>
      <c r="J108" s="8">
        <v>10500</v>
      </c>
      <c r="K108" s="9">
        <v>50500</v>
      </c>
      <c r="L108" s="2" t="s">
        <v>86</v>
      </c>
      <c r="M108" s="2">
        <v>16</v>
      </c>
      <c r="N108" s="2" t="str" cm="1">
        <f t="array" ref="N108">_xlfn.IFS(Tabela1[[#This Row],[qtde_]]="N/A", "N/A",Tabela1[[#This Row],[qtde_]]&lt;11,"BAIXO",Tabela1[[#This Row],[qtde_]]&lt;26,"MÉDIO",Tabela1[[#This Row],[qtde_]]&gt;=26,"ALTO")</f>
        <v>MÉDIO</v>
      </c>
      <c r="O108" s="12" t="str">
        <f>IF(AND(Tabela1[[#This Row],[nivel_risco]]="ALTO",Tabela1[[#This Row],[flag_inadimplente]] = "Sim"),"negada","aprovada")</f>
        <v>aprovada</v>
      </c>
      <c r="P108" s="12" t="str">
        <f>IF(AND(Tabela1[[#This Row],[credito_tomado]]&gt;50000,Tabela1[[#This Row],[flag_inadimplente]]="Sim"),"negada","aprovada")</f>
        <v>aprovada</v>
      </c>
      <c r="Q108" s="6">
        <v>41500</v>
      </c>
      <c r="R108" s="12" cm="1">
        <f t="array" ref="R10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3320</v>
      </c>
    </row>
    <row r="109" spans="1:18" ht="15.75" customHeight="1" x14ac:dyDescent="0.2">
      <c r="A109" s="2" t="s">
        <v>80</v>
      </c>
      <c r="B109" s="7" t="s">
        <v>314</v>
      </c>
      <c r="C109" s="1" t="s">
        <v>315</v>
      </c>
      <c r="D109" s="1" t="str">
        <f>TEXT(C109,"000\.000\.000\-00")</f>
        <v>000.000.031-00</v>
      </c>
      <c r="E109" s="2">
        <v>23</v>
      </c>
      <c r="F109" s="3">
        <v>37530</v>
      </c>
      <c r="G109" s="2" t="s">
        <v>316</v>
      </c>
      <c r="H109" s="7" t="s">
        <v>162</v>
      </c>
      <c r="I109" s="7" t="str">
        <f>PROPER(Tabela1[[#This Row],[regiao]])</f>
        <v>Ilhas De Ferro</v>
      </c>
      <c r="J109" s="8">
        <v>10700</v>
      </c>
      <c r="K109" s="9">
        <v>15000</v>
      </c>
      <c r="L109" s="2" t="s">
        <v>86</v>
      </c>
      <c r="M109" s="2">
        <v>42</v>
      </c>
      <c r="N109" s="2" t="str" cm="1">
        <f t="array" ref="N109">_xlfn.IFS(Tabela1[[#This Row],[qtde_]]="N/A", "N/A",Tabela1[[#This Row],[qtde_]]&lt;11,"BAIXO",Tabela1[[#This Row],[qtde_]]&lt;26,"MÉDIO",Tabela1[[#This Row],[qtde_]]&gt;=26,"ALTO")</f>
        <v>ALTO</v>
      </c>
      <c r="O109" s="12" t="str">
        <f>IF(AND(Tabela1[[#This Row],[nivel_risco]]="ALTO",Tabela1[[#This Row],[flag_inadimplente]] = "Sim"),"negada","aprovada")</f>
        <v>aprovada</v>
      </c>
      <c r="P109" s="12" t="str">
        <f>IF(AND(Tabela1[[#This Row],[credito_tomado]]&gt;50000,Tabela1[[#This Row],[flag_inadimplente]]="Sim"),"negada","aprovada")</f>
        <v>aprovada</v>
      </c>
      <c r="Q109" s="6">
        <v>81500</v>
      </c>
      <c r="R109" s="12" cm="1">
        <f t="array" ref="R10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6520</v>
      </c>
    </row>
    <row r="110" spans="1:18" ht="15.75" customHeight="1" x14ac:dyDescent="0.2">
      <c r="A110" s="2" t="s">
        <v>80</v>
      </c>
      <c r="B110" s="7" t="s">
        <v>231</v>
      </c>
      <c r="C110" s="1" t="s">
        <v>317</v>
      </c>
      <c r="D110" s="1" t="str">
        <f>TEXT(C110,"000\.000\.000\-00")</f>
        <v>000.000.043-00</v>
      </c>
      <c r="E110" s="2">
        <v>27</v>
      </c>
      <c r="F110" s="3">
        <v>36316</v>
      </c>
      <c r="G110" s="2" t="s">
        <v>206</v>
      </c>
      <c r="H110" s="7" t="s">
        <v>122</v>
      </c>
      <c r="I110" s="7" t="str">
        <f>PROPER(Tabela1[[#This Row],[regiao]])</f>
        <v>Campina</v>
      </c>
      <c r="J110" s="8">
        <v>10700</v>
      </c>
      <c r="K110" s="9">
        <v>60000</v>
      </c>
      <c r="L110" s="2" t="s">
        <v>86</v>
      </c>
      <c r="M110" s="2">
        <v>44</v>
      </c>
      <c r="N110" s="2" t="str" cm="1">
        <f t="array" ref="N110">_xlfn.IFS(Tabela1[[#This Row],[qtde_]]="N/A", "N/A",Tabela1[[#This Row],[qtde_]]&lt;11,"BAIXO",Tabela1[[#This Row],[qtde_]]&lt;26,"MÉDIO",Tabela1[[#This Row],[qtde_]]&gt;=26,"ALTO")</f>
        <v>ALTO</v>
      </c>
      <c r="O110" s="12" t="str">
        <f>IF(AND(Tabela1[[#This Row],[nivel_risco]]="ALTO",Tabela1[[#This Row],[flag_inadimplente]] = "Sim"),"negada","aprovada")</f>
        <v>aprovada</v>
      </c>
      <c r="P110" s="12" t="str">
        <f>IF(AND(Tabela1[[#This Row],[credito_tomado]]&gt;50000,Tabela1[[#This Row],[flag_inadimplente]]="Sim"),"negada","aprovada")</f>
        <v>aprovada</v>
      </c>
      <c r="Q110" s="6">
        <v>48000</v>
      </c>
      <c r="R110" s="12" cm="1">
        <f t="array" ref="R11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3840</v>
      </c>
    </row>
    <row r="111" spans="1:18" ht="15.75" customHeight="1" x14ac:dyDescent="0.2">
      <c r="A111" s="2" t="s">
        <v>80</v>
      </c>
      <c r="B111" s="7" t="s">
        <v>318</v>
      </c>
      <c r="C111" s="1">
        <v>21400</v>
      </c>
      <c r="D111" s="1" t="str">
        <f>TEXT(C111,"000\.000\.000\-00")</f>
        <v>000.000.214-00</v>
      </c>
      <c r="E111" s="2">
        <v>67</v>
      </c>
      <c r="F111" s="3">
        <v>21689</v>
      </c>
      <c r="G111" s="2" t="s">
        <v>138</v>
      </c>
      <c r="H111" s="7" t="s">
        <v>139</v>
      </c>
      <c r="I111" s="7" t="str">
        <f>PROPER(Tabela1[[#This Row],[regiao]])</f>
        <v>Essos</v>
      </c>
      <c r="J111" s="8">
        <v>10700</v>
      </c>
      <c r="K111" s="9">
        <v>9000</v>
      </c>
      <c r="L111" s="2" t="s">
        <v>86</v>
      </c>
      <c r="M111" s="2">
        <v>37</v>
      </c>
      <c r="N111" s="2" t="str" cm="1">
        <f t="array" ref="N111">_xlfn.IFS(Tabela1[[#This Row],[qtde_]]="N/A", "N/A",Tabela1[[#This Row],[qtde_]]&lt;11,"BAIXO",Tabela1[[#This Row],[qtde_]]&lt;26,"MÉDIO",Tabela1[[#This Row],[qtde_]]&gt;=26,"ALTO")</f>
        <v>ALTO</v>
      </c>
      <c r="O111" s="12" t="str">
        <f>IF(AND(Tabela1[[#This Row],[nivel_risco]]="ALTO",Tabela1[[#This Row],[flag_inadimplente]] = "Sim"),"negada","aprovada")</f>
        <v>aprovada</v>
      </c>
      <c r="P111" s="12" t="str">
        <f>IF(AND(Tabela1[[#This Row],[credito_tomado]]&gt;50000,Tabela1[[#This Row],[flag_inadimplente]]="Sim"),"negada","aprovada")</f>
        <v>aprovada</v>
      </c>
      <c r="Q111" s="6">
        <v>53000</v>
      </c>
      <c r="R111" s="12" cm="1">
        <f t="array" ref="R11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4240</v>
      </c>
    </row>
    <row r="112" spans="1:18" ht="15.75" customHeight="1" x14ac:dyDescent="0.2">
      <c r="A112" s="2" t="s">
        <v>96</v>
      </c>
      <c r="B112" s="7" t="s">
        <v>319</v>
      </c>
      <c r="C112" s="1" t="s">
        <v>320</v>
      </c>
      <c r="D112" s="1" t="str">
        <f>TEXT(C112,"000\.000\.000\-00")</f>
        <v>000.000.361-100</v>
      </c>
      <c r="E112" s="2">
        <v>24</v>
      </c>
      <c r="F112" s="3">
        <v>37313</v>
      </c>
      <c r="G112" s="2" t="s">
        <v>104</v>
      </c>
      <c r="H112" s="7" t="s">
        <v>105</v>
      </c>
      <c r="I112" s="7" t="str">
        <f>PROPER(Tabela1[[#This Row],[regiao]])</f>
        <v>Terras Da Tempestade</v>
      </c>
      <c r="J112" s="8">
        <v>11000</v>
      </c>
      <c r="K112" s="9">
        <v>76500</v>
      </c>
      <c r="L112" s="2" t="s">
        <v>101</v>
      </c>
      <c r="M112" s="2">
        <v>33</v>
      </c>
      <c r="N112" s="2" t="str" cm="1">
        <f t="array" ref="N112">_xlfn.IFS(Tabela1[[#This Row],[qtde_]]="N/A", "N/A",Tabela1[[#This Row],[qtde_]]&lt;11,"BAIXO",Tabela1[[#This Row],[qtde_]]&lt;26,"MÉDIO",Tabela1[[#This Row],[qtde_]]&gt;=26,"ALTO")</f>
        <v>ALTO</v>
      </c>
      <c r="O112" s="12" t="str">
        <f>IF(AND(Tabela1[[#This Row],[nivel_risco]]="ALTO",Tabela1[[#This Row],[flag_inadimplente]] = "Sim"),"negada","aprovada")</f>
        <v>negada</v>
      </c>
      <c r="P112" s="12" t="str">
        <f>IF(AND(Tabela1[[#This Row],[credito_tomado]]&gt;50000,Tabela1[[#This Row],[flag_inadimplente]]="Sim"),"negada","aprovada")</f>
        <v>negada</v>
      </c>
      <c r="Q112" s="6">
        <v>26000</v>
      </c>
      <c r="R112" s="12" t="str" cm="1">
        <f t="array" ref="R11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113" spans="1:18" ht="15.75" customHeight="1" x14ac:dyDescent="0.2">
      <c r="A113" s="2" t="s">
        <v>80</v>
      </c>
      <c r="B113" s="7" t="s">
        <v>321</v>
      </c>
      <c r="C113" s="1" t="s">
        <v>322</v>
      </c>
      <c r="D113" s="1" t="str">
        <f>TEXT(C113,"000\.000\.000\-00")</f>
        <v>000.000.338-00</v>
      </c>
      <c r="E113" s="2">
        <v>56</v>
      </c>
      <c r="F113" s="3">
        <v>25525</v>
      </c>
      <c r="G113" s="2" t="s">
        <v>115</v>
      </c>
      <c r="H113" s="7" t="s">
        <v>115</v>
      </c>
      <c r="I113" s="7" t="str">
        <f>PROPER(Tabela1[[#This Row],[regiao]])</f>
        <v>Dorne</v>
      </c>
      <c r="J113" s="8">
        <v>11100</v>
      </c>
      <c r="K113" s="9">
        <v>63000</v>
      </c>
      <c r="L113" s="2" t="s">
        <v>86</v>
      </c>
      <c r="M113" s="2">
        <v>0</v>
      </c>
      <c r="N113" s="2" t="str" cm="1">
        <f t="array" ref="N113">_xlfn.IFS(Tabela1[[#This Row],[qtde_]]="N/A", "N/A",Tabela1[[#This Row],[qtde_]]&lt;11,"BAIXO",Tabela1[[#This Row],[qtde_]]&lt;26,"MÉDIO",Tabela1[[#This Row],[qtde_]]&gt;=26,"ALTO")</f>
        <v>BAIXO</v>
      </c>
      <c r="O113" s="12" t="str">
        <f>IF(AND(Tabela1[[#This Row],[nivel_risco]]="ALTO",Tabela1[[#This Row],[flag_inadimplente]] = "Sim"),"negada","aprovada")</f>
        <v>aprovada</v>
      </c>
      <c r="P113" s="12" t="str">
        <f>IF(AND(Tabela1[[#This Row],[credito_tomado]]&gt;50000,Tabela1[[#This Row],[flag_inadimplente]]="Sim"),"negada","aprovada")</f>
        <v>aprovada</v>
      </c>
      <c r="Q113" s="6">
        <v>56000</v>
      </c>
      <c r="R113" s="12" cm="1">
        <f t="array" ref="R11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4480</v>
      </c>
    </row>
    <row r="114" spans="1:18" ht="15.75" customHeight="1" x14ac:dyDescent="0.2">
      <c r="A114" s="2" t="s">
        <v>83</v>
      </c>
      <c r="B114" s="7" t="s">
        <v>323</v>
      </c>
      <c r="C114" s="1" t="s">
        <v>324</v>
      </c>
      <c r="D114" s="1" t="str">
        <f>TEXT(C114,"000\.000\.000\-00")</f>
        <v>000.000.177-00</v>
      </c>
      <c r="E114" s="2">
        <v>56</v>
      </c>
      <c r="F114" s="3">
        <v>25705</v>
      </c>
      <c r="G114" s="2" t="s">
        <v>89</v>
      </c>
      <c r="H114" s="7" t="s">
        <v>90</v>
      </c>
      <c r="I114" s="7" t="str">
        <f>PROPER(Tabela1[[#This Row],[regiao]])</f>
        <v>Terras Da Coroa</v>
      </c>
      <c r="J114" s="8">
        <v>11100</v>
      </c>
      <c r="K114" s="9">
        <v>13000</v>
      </c>
      <c r="L114" s="2" t="s">
        <v>86</v>
      </c>
      <c r="M114" s="2">
        <v>38</v>
      </c>
      <c r="N114" s="2" t="str" cm="1">
        <f t="array" ref="N114">_xlfn.IFS(Tabela1[[#This Row],[qtde_]]="N/A", "N/A",Tabela1[[#This Row],[qtde_]]&lt;11,"BAIXO",Tabela1[[#This Row],[qtde_]]&lt;26,"MÉDIO",Tabela1[[#This Row],[qtde_]]&gt;=26,"ALTO")</f>
        <v>ALTO</v>
      </c>
      <c r="O114" s="12" t="str">
        <f>IF(AND(Tabela1[[#This Row],[nivel_risco]]="ALTO",Tabela1[[#This Row],[flag_inadimplente]] = "Sim"),"negada","aprovada")</f>
        <v>aprovada</v>
      </c>
      <c r="P114" s="12" t="str">
        <f>IF(AND(Tabela1[[#This Row],[credito_tomado]]&gt;50000,Tabela1[[#This Row],[flag_inadimplente]]="Sim"),"negada","aprovada")</f>
        <v>aprovada</v>
      </c>
      <c r="Q114" s="6">
        <v>88000</v>
      </c>
      <c r="R114" s="12" t="e" cm="1">
        <f t="array" ref="R11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15" spans="1:18" ht="15.75" customHeight="1" x14ac:dyDescent="0.2">
      <c r="A115" s="2" t="s">
        <v>80</v>
      </c>
      <c r="B115" s="7" t="s">
        <v>325</v>
      </c>
      <c r="C115" s="1" t="s">
        <v>326</v>
      </c>
      <c r="D115" s="1" t="str">
        <f>TEXT(C115,"000\.000\.000\-00")</f>
        <v>000.000.062-00</v>
      </c>
      <c r="E115" s="2">
        <v>63</v>
      </c>
      <c r="F115" s="3">
        <v>23006</v>
      </c>
      <c r="G115" s="2" t="s">
        <v>190</v>
      </c>
      <c r="H115" s="7" t="s">
        <v>113</v>
      </c>
      <c r="I115" s="7" t="str">
        <f>PROPER(Tabela1[[#This Row],[regiao]])</f>
        <v>Norte</v>
      </c>
      <c r="J115" s="8">
        <v>11200</v>
      </c>
      <c r="K115" s="9" t="s">
        <v>83</v>
      </c>
      <c r="L115" s="2" t="s">
        <v>83</v>
      </c>
      <c r="M115" s="2">
        <v>41</v>
      </c>
      <c r="N115" s="2" t="str" cm="1">
        <f t="array" ref="N115">_xlfn.IFS(Tabela1[[#This Row],[qtde_]]="N/A", "N/A",Tabela1[[#This Row],[qtde_]]&lt;11,"BAIXO",Tabela1[[#This Row],[qtde_]]&lt;26,"MÉDIO",Tabela1[[#This Row],[qtde_]]&gt;=26,"ALTO")</f>
        <v>ALTO</v>
      </c>
      <c r="O115" s="12" t="str">
        <f>IF(AND(Tabela1[[#This Row],[nivel_risco]]="ALTO",Tabela1[[#This Row],[flag_inadimplente]] = "Sim"),"negada","aprovada")</f>
        <v>aprovada</v>
      </c>
      <c r="P115" s="12" t="str">
        <f>IF(AND(Tabela1[[#This Row],[credito_tomado]]&gt;50000,Tabela1[[#This Row],[flag_inadimplente]]="Sim"),"negada","aprovada")</f>
        <v>aprovada</v>
      </c>
      <c r="Q115" s="6">
        <v>83500</v>
      </c>
      <c r="R115" s="12" t="str" cm="1">
        <f t="array" ref="R11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116" spans="1:18" ht="15.75" customHeight="1" x14ac:dyDescent="0.2">
      <c r="A116" s="2" t="s">
        <v>80</v>
      </c>
      <c r="B116" s="7" t="s">
        <v>327</v>
      </c>
      <c r="C116" s="1">
        <v>15600</v>
      </c>
      <c r="D116" s="1" t="str">
        <f>TEXT(C116,"000\.000\.000\-00")</f>
        <v>000.000.156-00</v>
      </c>
      <c r="E116" s="2">
        <v>44</v>
      </c>
      <c r="F116" s="3">
        <v>29843</v>
      </c>
      <c r="G116" s="2" t="s">
        <v>215</v>
      </c>
      <c r="H116" s="7" t="s">
        <v>90</v>
      </c>
      <c r="I116" s="7" t="str">
        <f>PROPER(Tabela1[[#This Row],[regiao]])</f>
        <v>Terras Da Coroa</v>
      </c>
      <c r="J116" s="8">
        <v>11300</v>
      </c>
      <c r="K116" s="9">
        <v>55000</v>
      </c>
      <c r="L116" s="2" t="s">
        <v>86</v>
      </c>
      <c r="M116" s="2">
        <v>38</v>
      </c>
      <c r="N116" s="2" t="str" cm="1">
        <f t="array" ref="N116">_xlfn.IFS(Tabela1[[#This Row],[qtde_]]="N/A", "N/A",Tabela1[[#This Row],[qtde_]]&lt;11,"BAIXO",Tabela1[[#This Row],[qtde_]]&lt;26,"MÉDIO",Tabela1[[#This Row],[qtde_]]&gt;=26,"ALTO")</f>
        <v>ALTO</v>
      </c>
      <c r="O116" s="12" t="str">
        <f>IF(AND(Tabela1[[#This Row],[nivel_risco]]="ALTO",Tabela1[[#This Row],[flag_inadimplente]] = "Sim"),"negada","aprovada")</f>
        <v>aprovada</v>
      </c>
      <c r="P116" s="12" t="str">
        <f>IF(AND(Tabela1[[#This Row],[credito_tomado]]&gt;50000,Tabela1[[#This Row],[flag_inadimplente]]="Sim"),"negada","aprovada")</f>
        <v>aprovada</v>
      </c>
      <c r="Q116" s="6">
        <v>68500</v>
      </c>
      <c r="R116" s="12" cm="1">
        <f t="array" ref="R11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5480</v>
      </c>
    </row>
    <row r="117" spans="1:18" ht="15.75" customHeight="1" x14ac:dyDescent="0.2">
      <c r="A117" s="2" t="s">
        <v>80</v>
      </c>
      <c r="B117" s="7" t="s">
        <v>328</v>
      </c>
      <c r="C117" s="1" t="s">
        <v>329</v>
      </c>
      <c r="D117" s="1" t="str">
        <f>TEXT(C117,"000\.000\.000\-00")</f>
        <v>000.000.355-00</v>
      </c>
      <c r="E117" s="2">
        <v>67</v>
      </c>
      <c r="F117" s="3">
        <v>21522</v>
      </c>
      <c r="G117" s="2" t="s">
        <v>197</v>
      </c>
      <c r="H117" s="7" t="s">
        <v>223</v>
      </c>
      <c r="I117" s="7" t="str">
        <f>PROPER(Tabela1[[#This Row],[regiao]])</f>
        <v>Terras Da Tempestade</v>
      </c>
      <c r="J117" s="8">
        <v>11300</v>
      </c>
      <c r="K117" s="9">
        <v>49500</v>
      </c>
      <c r="L117" s="2" t="s">
        <v>86</v>
      </c>
      <c r="M117" s="2">
        <v>12</v>
      </c>
      <c r="N117" s="2" t="str" cm="1">
        <f t="array" ref="N117">_xlfn.IFS(Tabela1[[#This Row],[qtde_]]="N/A", "N/A",Tabela1[[#This Row],[qtde_]]&lt;11,"BAIXO",Tabela1[[#This Row],[qtde_]]&lt;26,"MÉDIO",Tabela1[[#This Row],[qtde_]]&gt;=26,"ALTO")</f>
        <v>MÉDIO</v>
      </c>
      <c r="O117" s="12" t="str">
        <f>IF(AND(Tabela1[[#This Row],[nivel_risco]]="ALTO",Tabela1[[#This Row],[flag_inadimplente]] = "Sim"),"negada","aprovada")</f>
        <v>aprovada</v>
      </c>
      <c r="P117" s="12" t="str">
        <f>IF(AND(Tabela1[[#This Row],[credito_tomado]]&gt;50000,Tabela1[[#This Row],[flag_inadimplente]]="Sim"),"negada","aprovada")</f>
        <v>aprovada</v>
      </c>
      <c r="Q117" s="6">
        <v>34500</v>
      </c>
      <c r="R117" s="12" cm="1">
        <f t="array" ref="R11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2760</v>
      </c>
    </row>
    <row r="118" spans="1:18" ht="15.75" customHeight="1" x14ac:dyDescent="0.2">
      <c r="A118" s="2" t="s">
        <v>80</v>
      </c>
      <c r="B118" s="7" t="s">
        <v>330</v>
      </c>
      <c r="C118" s="1" t="s">
        <v>331</v>
      </c>
      <c r="D118" s="1" t="str">
        <f>TEXT(C118,"000\.000\.000\-00")</f>
        <v>000.000.199-00</v>
      </c>
      <c r="E118" s="2">
        <v>69</v>
      </c>
      <c r="F118" s="3" t="s">
        <v>83</v>
      </c>
      <c r="G118" s="2" t="s">
        <v>197</v>
      </c>
      <c r="H118" s="7" t="s">
        <v>230</v>
      </c>
      <c r="I118" s="7" t="str">
        <f>PROPER(Tabela1[[#This Row],[regiao]])</f>
        <v>Terras Da Tempestade</v>
      </c>
      <c r="J118" s="8">
        <v>11400</v>
      </c>
      <c r="K118" s="9">
        <v>0</v>
      </c>
      <c r="L118" s="2" t="s">
        <v>101</v>
      </c>
      <c r="M118" s="2">
        <v>13</v>
      </c>
      <c r="N118" s="2" t="str" cm="1">
        <f t="array" ref="N118">_xlfn.IFS(Tabela1[[#This Row],[qtde_]]="N/A", "N/A",Tabela1[[#This Row],[qtde_]]&lt;11,"BAIXO",Tabela1[[#This Row],[qtde_]]&lt;26,"MÉDIO",Tabela1[[#This Row],[qtde_]]&gt;=26,"ALTO")</f>
        <v>MÉDIO</v>
      </c>
      <c r="O118" s="12" t="str">
        <f>IF(AND(Tabela1[[#This Row],[nivel_risco]]="ALTO",Tabela1[[#This Row],[flag_inadimplente]] = "Sim"),"negada","aprovada")</f>
        <v>aprovada</v>
      </c>
      <c r="P118" s="12" t="str">
        <f>IF(AND(Tabela1[[#This Row],[credito_tomado]]&gt;50000,Tabela1[[#This Row],[flag_inadimplente]]="Sim"),"negada","aprovada")</f>
        <v>aprovada</v>
      </c>
      <c r="Q118" s="6">
        <v>79000</v>
      </c>
      <c r="R118" s="12" cm="1">
        <f t="array" ref="R11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6320</v>
      </c>
    </row>
    <row r="119" spans="1:18" ht="15.75" customHeight="1" x14ac:dyDescent="0.2">
      <c r="A119" s="2" t="s">
        <v>96</v>
      </c>
      <c r="B119" s="7" t="s">
        <v>332</v>
      </c>
      <c r="C119" s="1" t="s">
        <v>333</v>
      </c>
      <c r="D119" s="1" t="str">
        <f>TEXT(C119,"000\.000\.000\-00")</f>
        <v>000.000.281-00</v>
      </c>
      <c r="E119" s="2">
        <v>51</v>
      </c>
      <c r="F119" s="3">
        <v>27590</v>
      </c>
      <c r="G119" s="2" t="s">
        <v>121</v>
      </c>
      <c r="H119" s="7" t="s">
        <v>85</v>
      </c>
      <c r="I119" s="7" t="str">
        <f>PROPER(Tabela1[[#This Row],[regiao]])</f>
        <v>Campina</v>
      </c>
      <c r="J119" s="8">
        <v>11400</v>
      </c>
      <c r="K119" s="9">
        <v>0</v>
      </c>
      <c r="L119" s="2" t="s">
        <v>86</v>
      </c>
      <c r="M119" s="2">
        <v>17</v>
      </c>
      <c r="N119" s="2" t="str" cm="1">
        <f t="array" ref="N119">_xlfn.IFS(Tabela1[[#This Row],[qtde_]]="N/A", "N/A",Tabela1[[#This Row],[qtde_]]&lt;11,"BAIXO",Tabela1[[#This Row],[qtde_]]&lt;26,"MÉDIO",Tabela1[[#This Row],[qtde_]]&gt;=26,"ALTO")</f>
        <v>MÉDIO</v>
      </c>
      <c r="O119" s="12" t="str">
        <f>IF(AND(Tabela1[[#This Row],[nivel_risco]]="ALTO",Tabela1[[#This Row],[flag_inadimplente]] = "Sim"),"negada","aprovada")</f>
        <v>aprovada</v>
      </c>
      <c r="P119" s="12" t="str">
        <f>IF(AND(Tabela1[[#This Row],[credito_tomado]]&gt;50000,Tabela1[[#This Row],[flag_inadimplente]]="Sim"),"negada","aprovada")</f>
        <v>aprovada</v>
      </c>
      <c r="Q119" s="6">
        <v>55500</v>
      </c>
      <c r="R119" s="12" t="e" cm="1">
        <f t="array" ref="R11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20" spans="1:18" ht="15.75" customHeight="1" x14ac:dyDescent="0.2">
      <c r="A120" s="2" t="s">
        <v>80</v>
      </c>
      <c r="B120" s="7" t="s">
        <v>334</v>
      </c>
      <c r="C120" s="1">
        <v>32000</v>
      </c>
      <c r="D120" s="1" t="str">
        <f>TEXT(C120,"000\.000\.000\-00")</f>
        <v>000.000.320-00</v>
      </c>
      <c r="E120" s="2">
        <v>68</v>
      </c>
      <c r="F120" s="3">
        <v>21162</v>
      </c>
      <c r="G120" s="2" t="s">
        <v>112</v>
      </c>
      <c r="H120" s="7" t="s">
        <v>113</v>
      </c>
      <c r="I120" s="7" t="str">
        <f>PROPER(Tabela1[[#This Row],[regiao]])</f>
        <v>Norte</v>
      </c>
      <c r="J120" s="8">
        <v>11500</v>
      </c>
      <c r="K120" s="9">
        <v>17500</v>
      </c>
      <c r="L120" s="2" t="s">
        <v>86</v>
      </c>
      <c r="M120" s="2">
        <v>19</v>
      </c>
      <c r="N120" s="2" t="str" cm="1">
        <f t="array" ref="N120">_xlfn.IFS(Tabela1[[#This Row],[qtde_]]="N/A", "N/A",Tabela1[[#This Row],[qtde_]]&lt;11,"BAIXO",Tabela1[[#This Row],[qtde_]]&lt;26,"MÉDIO",Tabela1[[#This Row],[qtde_]]&gt;=26,"ALTO")</f>
        <v>MÉDIO</v>
      </c>
      <c r="O120" s="12" t="str">
        <f>IF(AND(Tabela1[[#This Row],[nivel_risco]]="ALTO",Tabela1[[#This Row],[flag_inadimplente]] = "Sim"),"negada","aprovada")</f>
        <v>aprovada</v>
      </c>
      <c r="P120" s="12" t="str">
        <f>IF(AND(Tabela1[[#This Row],[credito_tomado]]&gt;50000,Tabela1[[#This Row],[flag_inadimplente]]="Sim"),"negada","aprovada")</f>
        <v>aprovada</v>
      </c>
      <c r="Q120" s="6">
        <v>26000</v>
      </c>
      <c r="R120" s="12" cm="1">
        <f t="array" ref="R12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2080</v>
      </c>
    </row>
    <row r="121" spans="1:18" ht="15.75" customHeight="1" x14ac:dyDescent="0.2">
      <c r="A121" s="2" t="s">
        <v>80</v>
      </c>
      <c r="B121" s="7" t="s">
        <v>335</v>
      </c>
      <c r="C121" s="1">
        <v>9600</v>
      </c>
      <c r="D121" s="1" t="str">
        <f>TEXT(C121,"000\.000\.000\-00")</f>
        <v>000.000.096-00</v>
      </c>
      <c r="E121" s="2">
        <v>49</v>
      </c>
      <c r="F121" s="3">
        <v>28330</v>
      </c>
      <c r="G121" s="2" t="s">
        <v>124</v>
      </c>
      <c r="H121" s="7" t="s">
        <v>139</v>
      </c>
      <c r="I121" s="7" t="str">
        <f>PROPER(Tabela1[[#This Row],[regiao]])</f>
        <v>Essos</v>
      </c>
      <c r="J121" s="8">
        <v>11500</v>
      </c>
      <c r="K121" s="9">
        <v>44500</v>
      </c>
      <c r="L121" s="2" t="s">
        <v>86</v>
      </c>
      <c r="M121" s="2">
        <v>45</v>
      </c>
      <c r="N121" s="2" t="str" cm="1">
        <f t="array" ref="N121">_xlfn.IFS(Tabela1[[#This Row],[qtde_]]="N/A", "N/A",Tabela1[[#This Row],[qtde_]]&lt;11,"BAIXO",Tabela1[[#This Row],[qtde_]]&lt;26,"MÉDIO",Tabela1[[#This Row],[qtde_]]&gt;=26,"ALTO")</f>
        <v>ALTO</v>
      </c>
      <c r="O121" s="12" t="str">
        <f>IF(AND(Tabela1[[#This Row],[nivel_risco]]="ALTO",Tabela1[[#This Row],[flag_inadimplente]] = "Sim"),"negada","aprovada")</f>
        <v>aprovada</v>
      </c>
      <c r="P121" s="12" t="str">
        <f>IF(AND(Tabela1[[#This Row],[credito_tomado]]&gt;50000,Tabela1[[#This Row],[flag_inadimplente]]="Sim"),"negada","aprovada")</f>
        <v>aprovada</v>
      </c>
      <c r="Q121" s="6">
        <v>3000</v>
      </c>
      <c r="R121" s="12" cm="1">
        <f t="array" ref="R12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240</v>
      </c>
    </row>
    <row r="122" spans="1:18" ht="15.75" customHeight="1" x14ac:dyDescent="0.2">
      <c r="A122" s="2" t="s">
        <v>80</v>
      </c>
      <c r="B122" s="7" t="s">
        <v>336</v>
      </c>
      <c r="C122" s="1" t="s">
        <v>161</v>
      </c>
      <c r="D122" s="1" t="str">
        <f>TEXT(C122,"000\.000\.000\-00")</f>
        <v>000.000.373-00</v>
      </c>
      <c r="E122" s="2">
        <v>47</v>
      </c>
      <c r="F122" s="3" t="s">
        <v>83</v>
      </c>
      <c r="G122" s="2" t="s">
        <v>124</v>
      </c>
      <c r="I122" s="7" t="s">
        <v>83</v>
      </c>
      <c r="J122" s="8">
        <v>11600</v>
      </c>
      <c r="K122" s="9">
        <v>63500</v>
      </c>
      <c r="L122" s="2" t="s">
        <v>86</v>
      </c>
      <c r="M122" s="2">
        <v>18</v>
      </c>
      <c r="N122" s="2" t="str" cm="1">
        <f t="array" ref="N122">_xlfn.IFS(Tabela1[[#This Row],[qtde_]]="N/A", "N/A",Tabela1[[#This Row],[qtde_]]&lt;11,"BAIXO",Tabela1[[#This Row],[qtde_]]&lt;26,"MÉDIO",Tabela1[[#This Row],[qtde_]]&gt;=26,"ALTO")</f>
        <v>MÉDIO</v>
      </c>
      <c r="O122" s="12" t="str">
        <f>IF(AND(Tabela1[[#This Row],[nivel_risco]]="ALTO",Tabela1[[#This Row],[flag_inadimplente]] = "Sim"),"negada","aprovada")</f>
        <v>aprovada</v>
      </c>
      <c r="P122" s="12" t="str">
        <f>IF(AND(Tabela1[[#This Row],[credito_tomado]]&gt;50000,Tabela1[[#This Row],[flag_inadimplente]]="Sim"),"negada","aprovada")</f>
        <v>aprovada</v>
      </c>
      <c r="Q122" s="6">
        <v>3000</v>
      </c>
      <c r="R122" s="12" cm="1">
        <f t="array" ref="R12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240</v>
      </c>
    </row>
    <row r="123" spans="1:18" ht="15.75" customHeight="1" x14ac:dyDescent="0.2">
      <c r="A123" s="2" t="s">
        <v>80</v>
      </c>
      <c r="B123" s="7" t="s">
        <v>337</v>
      </c>
      <c r="C123" s="1" t="s">
        <v>338</v>
      </c>
      <c r="D123" s="1" t="str">
        <f>TEXT(C123,"000\.000\.000\-00")</f>
        <v>000.000.275-00</v>
      </c>
      <c r="E123" s="2">
        <v>36</v>
      </c>
      <c r="F123" s="3">
        <v>33117</v>
      </c>
      <c r="G123" s="2" t="s">
        <v>108</v>
      </c>
      <c r="H123" s="7" t="s">
        <v>109</v>
      </c>
      <c r="I123" s="7" t="str">
        <f>PROPER(Tabela1[[#This Row],[regiao]])</f>
        <v>Gargalo</v>
      </c>
      <c r="J123" s="8">
        <v>11600</v>
      </c>
      <c r="K123" s="9">
        <v>78500</v>
      </c>
      <c r="L123" s="2" t="s">
        <v>86</v>
      </c>
      <c r="M123" s="2">
        <v>1</v>
      </c>
      <c r="N123" s="2" t="str" cm="1">
        <f t="array" ref="N123">_xlfn.IFS(Tabela1[[#This Row],[qtde_]]="N/A", "N/A",Tabela1[[#This Row],[qtde_]]&lt;11,"BAIXO",Tabela1[[#This Row],[qtde_]]&lt;26,"MÉDIO",Tabela1[[#This Row],[qtde_]]&gt;=26,"ALTO")</f>
        <v>BAIXO</v>
      </c>
      <c r="O123" s="12" t="str">
        <f>IF(AND(Tabela1[[#This Row],[nivel_risco]]="ALTO",Tabela1[[#This Row],[flag_inadimplente]] = "Sim"),"negada","aprovada")</f>
        <v>aprovada</v>
      </c>
      <c r="P123" s="12" t="str">
        <f>IF(AND(Tabela1[[#This Row],[credito_tomado]]&gt;50000,Tabela1[[#This Row],[flag_inadimplente]]="Sim"),"negada","aprovada")</f>
        <v>aprovada</v>
      </c>
      <c r="Q123" s="6">
        <v>42000</v>
      </c>
      <c r="R123" s="12" cm="1">
        <f t="array" ref="R12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3360</v>
      </c>
    </row>
    <row r="124" spans="1:18" ht="15.75" customHeight="1" x14ac:dyDescent="0.2">
      <c r="A124" s="2" t="s">
        <v>80</v>
      </c>
      <c r="B124" s="7" t="s">
        <v>339</v>
      </c>
      <c r="C124" s="1" t="s">
        <v>340</v>
      </c>
      <c r="D124" s="1" t="str">
        <f>TEXT(C124,"000\.000\.000\-00")</f>
        <v>000.000.019-00</v>
      </c>
      <c r="E124" s="2">
        <v>51</v>
      </c>
      <c r="F124" s="3">
        <v>27378</v>
      </c>
      <c r="G124" s="2" t="s">
        <v>115</v>
      </c>
      <c r="H124" s="7" t="s">
        <v>115</v>
      </c>
      <c r="I124" s="7" t="str">
        <f>PROPER(Tabela1[[#This Row],[regiao]])</f>
        <v>Dorne</v>
      </c>
      <c r="J124" s="8">
        <v>11600</v>
      </c>
      <c r="K124" s="9">
        <v>41000</v>
      </c>
      <c r="L124" s="2" t="s">
        <v>86</v>
      </c>
      <c r="M124" s="2">
        <v>7</v>
      </c>
      <c r="N124" s="2" t="str" cm="1">
        <f t="array" ref="N124">_xlfn.IFS(Tabela1[[#This Row],[qtde_]]="N/A", "N/A",Tabela1[[#This Row],[qtde_]]&lt;11,"BAIXO",Tabela1[[#This Row],[qtde_]]&lt;26,"MÉDIO",Tabela1[[#This Row],[qtde_]]&gt;=26,"ALTO")</f>
        <v>BAIXO</v>
      </c>
      <c r="O124" s="12" t="str">
        <f>IF(AND(Tabela1[[#This Row],[nivel_risco]]="ALTO",Tabela1[[#This Row],[flag_inadimplente]] = "Sim"),"negada","aprovada")</f>
        <v>aprovada</v>
      </c>
      <c r="P124" s="12" t="str">
        <f>IF(AND(Tabela1[[#This Row],[credito_tomado]]&gt;50000,Tabela1[[#This Row],[flag_inadimplente]]="Sim"),"negada","aprovada")</f>
        <v>aprovada</v>
      </c>
      <c r="Q124" s="6">
        <v>67000</v>
      </c>
      <c r="R124" s="12" cm="1">
        <f t="array" ref="R12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5360</v>
      </c>
    </row>
    <row r="125" spans="1:18" ht="15.75" customHeight="1" x14ac:dyDescent="0.2">
      <c r="A125" s="2" t="s">
        <v>80</v>
      </c>
      <c r="B125" s="7" t="s">
        <v>341</v>
      </c>
      <c r="C125" s="1" t="s">
        <v>342</v>
      </c>
      <c r="D125" s="1" t="str">
        <f>TEXT(C125,"000\.000\.000\-00")</f>
        <v>000.000.242-00</v>
      </c>
      <c r="E125" s="2">
        <v>66</v>
      </c>
      <c r="F125" s="3">
        <v>22151</v>
      </c>
      <c r="G125" s="2" t="s">
        <v>206</v>
      </c>
      <c r="H125" s="7" t="s">
        <v>85</v>
      </c>
      <c r="I125" s="7" t="str">
        <f>PROPER(Tabela1[[#This Row],[regiao]])</f>
        <v>Campina</v>
      </c>
      <c r="J125" s="8">
        <v>11800</v>
      </c>
      <c r="K125" s="9">
        <v>2000</v>
      </c>
      <c r="L125" s="2" t="s">
        <v>101</v>
      </c>
      <c r="M125" s="2">
        <v>23</v>
      </c>
      <c r="N125" s="2" t="str" cm="1">
        <f t="array" ref="N125">_xlfn.IFS(Tabela1[[#This Row],[qtde_]]="N/A", "N/A",Tabela1[[#This Row],[qtde_]]&lt;11,"BAIXO",Tabela1[[#This Row],[qtde_]]&lt;26,"MÉDIO",Tabela1[[#This Row],[qtde_]]&gt;=26,"ALTO")</f>
        <v>MÉDIO</v>
      </c>
      <c r="O125" s="12" t="str">
        <f>IF(AND(Tabela1[[#This Row],[nivel_risco]]="ALTO",Tabela1[[#This Row],[flag_inadimplente]] = "Sim"),"negada","aprovada")</f>
        <v>aprovada</v>
      </c>
      <c r="P125" s="12" t="str">
        <f>IF(AND(Tabela1[[#This Row],[credito_tomado]]&gt;50000,Tabela1[[#This Row],[flag_inadimplente]]="Sim"),"negada","aprovada")</f>
        <v>aprovada</v>
      </c>
      <c r="Q125" s="6">
        <v>72500</v>
      </c>
      <c r="R125" s="12" cm="1">
        <f t="array" ref="R12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5800</v>
      </c>
    </row>
    <row r="126" spans="1:18" ht="15.75" customHeight="1" x14ac:dyDescent="0.2">
      <c r="A126" s="2" t="s">
        <v>80</v>
      </c>
      <c r="B126" s="7" t="s">
        <v>268</v>
      </c>
      <c r="C126" s="1" t="s">
        <v>343</v>
      </c>
      <c r="D126" s="1" t="str">
        <f>TEXT(C126,"000\.000\.000\-00")</f>
        <v>000.000.140-00</v>
      </c>
      <c r="E126" s="2">
        <v>29</v>
      </c>
      <c r="F126" s="3">
        <v>35472</v>
      </c>
      <c r="G126" s="2" t="s">
        <v>344</v>
      </c>
      <c r="H126" s="7" t="s">
        <v>113</v>
      </c>
      <c r="I126" s="7" t="str">
        <f>PROPER(Tabela1[[#This Row],[regiao]])</f>
        <v>Norte</v>
      </c>
      <c r="J126" s="8">
        <v>11900</v>
      </c>
      <c r="K126" s="9">
        <v>65000</v>
      </c>
      <c r="L126" s="2" t="s">
        <v>101</v>
      </c>
      <c r="M126" s="2">
        <v>29</v>
      </c>
      <c r="N126" s="2" t="str" cm="1">
        <f t="array" ref="N126">_xlfn.IFS(Tabela1[[#This Row],[qtde_]]="N/A", "N/A",Tabela1[[#This Row],[qtde_]]&lt;11,"BAIXO",Tabela1[[#This Row],[qtde_]]&lt;26,"MÉDIO",Tabela1[[#This Row],[qtde_]]&gt;=26,"ALTO")</f>
        <v>ALTO</v>
      </c>
      <c r="O126" s="12" t="str">
        <f>IF(AND(Tabela1[[#This Row],[nivel_risco]]="ALTO",Tabela1[[#This Row],[flag_inadimplente]] = "Sim"),"negada","aprovada")</f>
        <v>negada</v>
      </c>
      <c r="P126" s="12" t="str">
        <f>IF(AND(Tabela1[[#This Row],[credito_tomado]]&gt;50000,Tabela1[[#This Row],[flag_inadimplente]]="Sim"),"negada","aprovada")</f>
        <v>negada</v>
      </c>
      <c r="Q126" s="6">
        <v>12000</v>
      </c>
      <c r="R126" s="12" t="str" cm="1">
        <f t="array" ref="R12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127" spans="1:18" ht="15.75" customHeight="1" x14ac:dyDescent="0.2">
      <c r="A127" s="2" t="s">
        <v>80</v>
      </c>
      <c r="B127" s="7" t="s">
        <v>345</v>
      </c>
      <c r="C127" s="1" t="s">
        <v>346</v>
      </c>
      <c r="D127" s="1" t="str">
        <f>TEXT(C127,"000\.000\.000\-00")</f>
        <v>000.000.070-00</v>
      </c>
      <c r="E127" s="2">
        <v>62</v>
      </c>
      <c r="F127" s="3">
        <v>23337</v>
      </c>
      <c r="G127" s="2" t="s">
        <v>215</v>
      </c>
      <c r="H127" s="7" t="s">
        <v>90</v>
      </c>
      <c r="I127" s="7" t="str">
        <f>PROPER(Tabela1[[#This Row],[regiao]])</f>
        <v>Terras Da Coroa</v>
      </c>
      <c r="J127" s="8">
        <v>11900</v>
      </c>
      <c r="K127" s="9">
        <v>58500</v>
      </c>
      <c r="L127" s="2" t="s">
        <v>86</v>
      </c>
      <c r="M127" s="2">
        <v>37</v>
      </c>
      <c r="N127" s="2" t="str" cm="1">
        <f t="array" ref="N127">_xlfn.IFS(Tabela1[[#This Row],[qtde_]]="N/A", "N/A",Tabela1[[#This Row],[qtde_]]&lt;11,"BAIXO",Tabela1[[#This Row],[qtde_]]&lt;26,"MÉDIO",Tabela1[[#This Row],[qtde_]]&gt;=26,"ALTO")</f>
        <v>ALTO</v>
      </c>
      <c r="O127" s="12" t="str">
        <f>IF(AND(Tabela1[[#This Row],[nivel_risco]]="ALTO",Tabela1[[#This Row],[flag_inadimplente]] = "Sim"),"negada","aprovada")</f>
        <v>aprovada</v>
      </c>
      <c r="P127" s="12" t="str">
        <f>IF(AND(Tabela1[[#This Row],[credito_tomado]]&gt;50000,Tabela1[[#This Row],[flag_inadimplente]]="Sim"),"negada","aprovada")</f>
        <v>aprovada</v>
      </c>
      <c r="Q127" s="6">
        <v>48000</v>
      </c>
      <c r="R127" s="12" cm="1">
        <f t="array" ref="R12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3840</v>
      </c>
    </row>
    <row r="128" spans="1:18" ht="15.75" customHeight="1" x14ac:dyDescent="0.2">
      <c r="A128" s="2" t="s">
        <v>80</v>
      </c>
      <c r="B128" s="7" t="s">
        <v>347</v>
      </c>
      <c r="C128" s="1" t="s">
        <v>348</v>
      </c>
      <c r="D128" s="1" t="str">
        <f>TEXT(C128,"000\.000\.000\-00")</f>
        <v>000.000.139-00</v>
      </c>
      <c r="E128" s="2">
        <v>55</v>
      </c>
      <c r="F128" s="3">
        <v>26161</v>
      </c>
      <c r="G128" s="2" t="s">
        <v>84</v>
      </c>
      <c r="I128" s="7" t="s">
        <v>83</v>
      </c>
      <c r="J128" s="8">
        <v>12200</v>
      </c>
      <c r="K128" s="9">
        <v>70500</v>
      </c>
      <c r="L128" s="2" t="s">
        <v>86</v>
      </c>
      <c r="M128" s="2">
        <v>33</v>
      </c>
      <c r="N128" s="2" t="str" cm="1">
        <f t="array" ref="N128">_xlfn.IFS(Tabela1[[#This Row],[qtde_]]="N/A", "N/A",Tabela1[[#This Row],[qtde_]]&lt;11,"BAIXO",Tabela1[[#This Row],[qtde_]]&lt;26,"MÉDIO",Tabela1[[#This Row],[qtde_]]&gt;=26,"ALTO")</f>
        <v>ALTO</v>
      </c>
      <c r="O128" s="12" t="str">
        <f>IF(AND(Tabela1[[#This Row],[nivel_risco]]="ALTO",Tabela1[[#This Row],[flag_inadimplente]] = "Sim"),"negada","aprovada")</f>
        <v>aprovada</v>
      </c>
      <c r="P128" s="12" t="str">
        <f>IF(AND(Tabela1[[#This Row],[credito_tomado]]&gt;50000,Tabela1[[#This Row],[flag_inadimplente]]="Sim"),"negada","aprovada")</f>
        <v>aprovada</v>
      </c>
      <c r="Q128" s="6">
        <v>78000</v>
      </c>
      <c r="R128" s="12" cm="1">
        <f t="array" ref="R12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6240</v>
      </c>
    </row>
    <row r="129" spans="1:18" ht="15.75" customHeight="1" x14ac:dyDescent="0.2">
      <c r="A129" s="2" t="s">
        <v>80</v>
      </c>
      <c r="B129" s="7" t="s">
        <v>349</v>
      </c>
      <c r="C129" s="1" t="s">
        <v>350</v>
      </c>
      <c r="D129" s="1" t="str">
        <f>TEXT(C129,"000\.000\.000\-00")</f>
        <v>000.000.314-00</v>
      </c>
      <c r="E129" s="2">
        <v>53</v>
      </c>
      <c r="F129" s="3">
        <v>26584</v>
      </c>
      <c r="G129" s="2" t="s">
        <v>99</v>
      </c>
      <c r="H129" s="7" t="s">
        <v>113</v>
      </c>
      <c r="I129" s="7" t="str">
        <f>PROPER(Tabela1[[#This Row],[regiao]])</f>
        <v>Norte</v>
      </c>
      <c r="J129" s="8">
        <v>12200</v>
      </c>
      <c r="K129" s="9">
        <v>79500</v>
      </c>
      <c r="L129" s="2" t="s">
        <v>86</v>
      </c>
      <c r="M129" s="2">
        <v>45</v>
      </c>
      <c r="N129" s="2" t="str" cm="1">
        <f t="array" ref="N129">_xlfn.IFS(Tabela1[[#This Row],[qtde_]]="N/A", "N/A",Tabela1[[#This Row],[qtde_]]&lt;11,"BAIXO",Tabela1[[#This Row],[qtde_]]&lt;26,"MÉDIO",Tabela1[[#This Row],[qtde_]]&gt;=26,"ALTO")</f>
        <v>ALTO</v>
      </c>
      <c r="O129" s="12" t="str">
        <f>IF(AND(Tabela1[[#This Row],[nivel_risco]]="ALTO",Tabela1[[#This Row],[flag_inadimplente]] = "Sim"),"negada","aprovada")</f>
        <v>aprovada</v>
      </c>
      <c r="P129" s="12" t="str">
        <f>IF(AND(Tabela1[[#This Row],[credito_tomado]]&gt;50000,Tabela1[[#This Row],[flag_inadimplente]]="Sim"),"negada","aprovada")</f>
        <v>aprovada</v>
      </c>
      <c r="Q129" s="6">
        <v>57000</v>
      </c>
      <c r="R129" s="12" cm="1">
        <f t="array" ref="R12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4560</v>
      </c>
    </row>
    <row r="130" spans="1:18" ht="15.75" customHeight="1" x14ac:dyDescent="0.2">
      <c r="A130" s="2" t="s">
        <v>80</v>
      </c>
      <c r="B130" s="7" t="s">
        <v>349</v>
      </c>
      <c r="C130" s="1" t="s">
        <v>350</v>
      </c>
      <c r="D130" s="1" t="str">
        <f>TEXT(C130,"000\.000\.000\-00")</f>
        <v>000.000.314-00</v>
      </c>
      <c r="E130" s="2">
        <v>53</v>
      </c>
      <c r="F130" s="3">
        <v>26584</v>
      </c>
      <c r="G130" s="2" t="s">
        <v>99</v>
      </c>
      <c r="H130" s="7" t="s">
        <v>113</v>
      </c>
      <c r="I130" s="7" t="str">
        <f>PROPER(Tabela1[[#This Row],[regiao]])</f>
        <v>Norte</v>
      </c>
      <c r="J130" s="8">
        <v>12200</v>
      </c>
      <c r="K130" s="9">
        <v>79500</v>
      </c>
      <c r="L130" s="2" t="s">
        <v>86</v>
      </c>
      <c r="M130" s="2">
        <v>45</v>
      </c>
      <c r="N130" s="2" t="str" cm="1">
        <f t="array" ref="N130">_xlfn.IFS(Tabela1[[#This Row],[qtde_]]="N/A", "N/A",Tabela1[[#This Row],[qtde_]]&lt;11,"BAIXO",Tabela1[[#This Row],[qtde_]]&lt;26,"MÉDIO",Tabela1[[#This Row],[qtde_]]&gt;=26,"ALTO")</f>
        <v>ALTO</v>
      </c>
      <c r="O130" s="12" t="str">
        <f>IF(AND(Tabela1[[#This Row],[nivel_risco]]="ALTO",Tabela1[[#This Row],[flag_inadimplente]] = "Sim"),"negada","aprovada")</f>
        <v>aprovada</v>
      </c>
      <c r="P130" s="12" t="str">
        <f>IF(AND(Tabela1[[#This Row],[credito_tomado]]&gt;50000,Tabela1[[#This Row],[flag_inadimplente]]="Sim"),"negada","aprovada")</f>
        <v>aprovada</v>
      </c>
      <c r="Q130" s="6">
        <v>62000</v>
      </c>
      <c r="R130" s="12" cm="1">
        <f t="array" ref="R13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4960</v>
      </c>
    </row>
    <row r="131" spans="1:18" ht="15.75" customHeight="1" x14ac:dyDescent="0.2">
      <c r="A131" s="2" t="s">
        <v>80</v>
      </c>
      <c r="B131" s="7" t="s">
        <v>351</v>
      </c>
      <c r="C131" s="1" t="s">
        <v>352</v>
      </c>
      <c r="D131" s="1" t="str">
        <f>TEXT(C131,"000\.000\.000\-00")</f>
        <v>000.000.196-00</v>
      </c>
      <c r="E131" s="2">
        <v>58</v>
      </c>
      <c r="F131" s="3">
        <v>24905</v>
      </c>
      <c r="G131" s="2" t="s">
        <v>138</v>
      </c>
      <c r="H131" s="7" t="s">
        <v>125</v>
      </c>
      <c r="I131" s="7" t="str">
        <f>PROPER(Tabela1[[#This Row],[regiao]])</f>
        <v>Essos</v>
      </c>
      <c r="J131" s="8">
        <v>12400</v>
      </c>
      <c r="K131" s="9">
        <v>21500</v>
      </c>
      <c r="L131" s="2" t="s">
        <v>101</v>
      </c>
      <c r="M131" s="2">
        <v>24</v>
      </c>
      <c r="N131" s="2" t="str" cm="1">
        <f t="array" ref="N131">_xlfn.IFS(Tabela1[[#This Row],[qtde_]]="N/A", "N/A",Tabela1[[#This Row],[qtde_]]&lt;11,"BAIXO",Tabela1[[#This Row],[qtde_]]&lt;26,"MÉDIO",Tabela1[[#This Row],[qtde_]]&gt;=26,"ALTO")</f>
        <v>MÉDIO</v>
      </c>
      <c r="O131" s="12" t="str">
        <f>IF(AND(Tabela1[[#This Row],[nivel_risco]]="ALTO",Tabela1[[#This Row],[flag_inadimplente]] = "Sim"),"negada","aprovada")</f>
        <v>aprovada</v>
      </c>
      <c r="P131" s="12" t="str">
        <f>IF(AND(Tabela1[[#This Row],[credito_tomado]]&gt;50000,Tabela1[[#This Row],[flag_inadimplente]]="Sim"),"negada","aprovada")</f>
        <v>aprovada</v>
      </c>
      <c r="Q131" s="6">
        <v>80000</v>
      </c>
      <c r="R131" s="12" cm="1">
        <f t="array" ref="R13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6400</v>
      </c>
    </row>
    <row r="132" spans="1:18" ht="15.75" customHeight="1" x14ac:dyDescent="0.2">
      <c r="A132" s="2" t="s">
        <v>96</v>
      </c>
      <c r="B132" s="7" t="s">
        <v>353</v>
      </c>
      <c r="C132" s="1" t="s">
        <v>354</v>
      </c>
      <c r="D132" s="1" t="str">
        <f>TEXT(C132,"000\.000\.000\-00")</f>
        <v>000.000.229-00</v>
      </c>
      <c r="E132" s="2">
        <v>48</v>
      </c>
      <c r="F132" s="3">
        <v>28737</v>
      </c>
      <c r="G132" s="2" t="s">
        <v>89</v>
      </c>
      <c r="H132" s="7" t="s">
        <v>90</v>
      </c>
      <c r="I132" s="7" t="str">
        <f>PROPER(Tabela1[[#This Row],[regiao]])</f>
        <v>Terras Da Coroa</v>
      </c>
      <c r="J132" s="8">
        <v>12400</v>
      </c>
      <c r="K132" s="9">
        <v>0</v>
      </c>
      <c r="L132" s="2" t="s">
        <v>86</v>
      </c>
      <c r="M132" s="2">
        <v>25</v>
      </c>
      <c r="N132" s="2" t="str" cm="1">
        <f t="array" ref="N132">_xlfn.IFS(Tabela1[[#This Row],[qtde_]]="N/A", "N/A",Tabela1[[#This Row],[qtde_]]&lt;11,"BAIXO",Tabela1[[#This Row],[qtde_]]&lt;26,"MÉDIO",Tabela1[[#This Row],[qtde_]]&gt;=26,"ALTO")</f>
        <v>MÉDIO</v>
      </c>
      <c r="O132" s="12" t="str">
        <f>IF(AND(Tabela1[[#This Row],[nivel_risco]]="ALTO",Tabela1[[#This Row],[flag_inadimplente]] = "Sim"),"negada","aprovada")</f>
        <v>aprovada</v>
      </c>
      <c r="P132" s="12" t="str">
        <f>IF(AND(Tabela1[[#This Row],[credito_tomado]]&gt;50000,Tabela1[[#This Row],[flag_inadimplente]]="Sim"),"negada","aprovada")</f>
        <v>aprovada</v>
      </c>
      <c r="Q132" s="6">
        <v>65500</v>
      </c>
      <c r="R132" s="12" t="e" cm="1">
        <f t="array" ref="R13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33" spans="1:18" ht="15.75" customHeight="1" x14ac:dyDescent="0.2">
      <c r="A133" s="2" t="s">
        <v>96</v>
      </c>
      <c r="B133" s="7" t="s">
        <v>355</v>
      </c>
      <c r="C133" s="1">
        <v>16600</v>
      </c>
      <c r="D133" s="1" t="str">
        <f>TEXT(C133,"000\.000\.000\-00")</f>
        <v>000.000.166-00</v>
      </c>
      <c r="E133" s="2">
        <v>35</v>
      </c>
      <c r="F133" s="3">
        <v>33417</v>
      </c>
      <c r="G133" s="2" t="s">
        <v>84</v>
      </c>
      <c r="H133" s="7" t="s">
        <v>122</v>
      </c>
      <c r="I133" s="7" t="str">
        <f>PROPER(Tabela1[[#This Row],[regiao]])</f>
        <v>Campina</v>
      </c>
      <c r="J133" s="8">
        <v>12400</v>
      </c>
      <c r="K133" s="9">
        <v>0</v>
      </c>
      <c r="L133" s="2" t="s">
        <v>86</v>
      </c>
      <c r="M133" s="2">
        <v>3</v>
      </c>
      <c r="N133" s="2" t="str" cm="1">
        <f t="array" ref="N133">_xlfn.IFS(Tabela1[[#This Row],[qtde_]]="N/A", "N/A",Tabela1[[#This Row],[qtde_]]&lt;11,"BAIXO",Tabela1[[#This Row],[qtde_]]&lt;26,"MÉDIO",Tabela1[[#This Row],[qtde_]]&gt;=26,"ALTO")</f>
        <v>BAIXO</v>
      </c>
      <c r="O133" s="12" t="str">
        <f>IF(AND(Tabela1[[#This Row],[nivel_risco]]="ALTO",Tabela1[[#This Row],[flag_inadimplente]] = "Sim"),"negada","aprovada")</f>
        <v>aprovada</v>
      </c>
      <c r="P133" s="12" t="str">
        <f>IF(AND(Tabela1[[#This Row],[credito_tomado]]&gt;50000,Tabela1[[#This Row],[flag_inadimplente]]="Sim"),"negada","aprovada")</f>
        <v>aprovada</v>
      </c>
      <c r="Q133" s="6">
        <v>83500</v>
      </c>
      <c r="R133" s="12" t="e" cm="1">
        <f t="array" ref="R13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34" spans="1:18" ht="15.75" customHeight="1" x14ac:dyDescent="0.2">
      <c r="A134" s="2" t="s">
        <v>96</v>
      </c>
      <c r="B134" s="7" t="s">
        <v>356</v>
      </c>
      <c r="C134" s="1" t="s">
        <v>357</v>
      </c>
      <c r="D134" s="1" t="str">
        <f>TEXT(C134,"000\.000\.000\-00")</f>
        <v>000.000.009-00</v>
      </c>
      <c r="E134" s="2">
        <v>58</v>
      </c>
      <c r="F134" s="3">
        <v>24872</v>
      </c>
      <c r="G134" s="2" t="s">
        <v>94</v>
      </c>
      <c r="H134" s="7" t="s">
        <v>95</v>
      </c>
      <c r="I134" s="7" t="str">
        <f>PROPER(Tabela1[[#This Row],[regiao]])</f>
        <v>Ilhas De Ferro</v>
      </c>
      <c r="J134" s="8">
        <v>12500</v>
      </c>
      <c r="K134" s="9">
        <v>44500</v>
      </c>
      <c r="L134" s="2" t="s">
        <v>86</v>
      </c>
      <c r="M134" s="2">
        <v>13</v>
      </c>
      <c r="N134" s="2" t="str" cm="1">
        <f t="array" ref="N134">_xlfn.IFS(Tabela1[[#This Row],[qtde_]]="N/A", "N/A",Tabela1[[#This Row],[qtde_]]&lt;11,"BAIXO",Tabela1[[#This Row],[qtde_]]&lt;26,"MÉDIO",Tabela1[[#This Row],[qtde_]]&gt;=26,"ALTO")</f>
        <v>MÉDIO</v>
      </c>
      <c r="O134" s="12" t="str">
        <f>IF(AND(Tabela1[[#This Row],[nivel_risco]]="ALTO",Tabela1[[#This Row],[flag_inadimplente]] = "Sim"),"negada","aprovada")</f>
        <v>aprovada</v>
      </c>
      <c r="P134" s="12" t="str">
        <f>IF(AND(Tabela1[[#This Row],[credito_tomado]]&gt;50000,Tabela1[[#This Row],[flag_inadimplente]]="Sim"),"negada","aprovada")</f>
        <v>aprovada</v>
      </c>
      <c r="Q134" s="6">
        <v>16000</v>
      </c>
      <c r="R134" s="12" t="e" cm="1">
        <f t="array" ref="R13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35" spans="1:18" ht="15.75" customHeight="1" x14ac:dyDescent="0.2">
      <c r="A135" s="2" t="s">
        <v>96</v>
      </c>
      <c r="B135" s="7" t="s">
        <v>356</v>
      </c>
      <c r="C135" s="1" t="s">
        <v>357</v>
      </c>
      <c r="D135" s="1" t="str">
        <f>TEXT(C135,"000\.000\.000\-00")</f>
        <v>000.000.009-00</v>
      </c>
      <c r="E135" s="2">
        <v>58</v>
      </c>
      <c r="F135" s="3">
        <v>24872</v>
      </c>
      <c r="G135" s="2" t="s">
        <v>94</v>
      </c>
      <c r="H135" s="7" t="s">
        <v>95</v>
      </c>
      <c r="I135" s="7" t="str">
        <f>PROPER(Tabela1[[#This Row],[regiao]])</f>
        <v>Ilhas De Ferro</v>
      </c>
      <c r="J135" s="8">
        <v>12500</v>
      </c>
      <c r="K135" s="9">
        <v>44500</v>
      </c>
      <c r="L135" s="2" t="s">
        <v>86</v>
      </c>
      <c r="M135" s="2">
        <v>13</v>
      </c>
      <c r="N135" s="2" t="str" cm="1">
        <f t="array" ref="N135">_xlfn.IFS(Tabela1[[#This Row],[qtde_]]="N/A", "N/A",Tabela1[[#This Row],[qtde_]]&lt;11,"BAIXO",Tabela1[[#This Row],[qtde_]]&lt;26,"MÉDIO",Tabela1[[#This Row],[qtde_]]&gt;=26,"ALTO")</f>
        <v>MÉDIO</v>
      </c>
      <c r="O135" s="12" t="str">
        <f>IF(AND(Tabela1[[#This Row],[nivel_risco]]="ALTO",Tabela1[[#This Row],[flag_inadimplente]] = "Sim"),"negada","aprovada")</f>
        <v>aprovada</v>
      </c>
      <c r="P135" s="12" t="str">
        <f>IF(AND(Tabela1[[#This Row],[credito_tomado]]&gt;50000,Tabela1[[#This Row],[flag_inadimplente]]="Sim"),"negada","aprovada")</f>
        <v>aprovada</v>
      </c>
      <c r="Q135" s="6">
        <v>98500</v>
      </c>
      <c r="R135" s="12" t="e" cm="1">
        <f t="array" ref="R13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36" spans="1:18" ht="15.75" customHeight="1" x14ac:dyDescent="0.2">
      <c r="A136" s="2" t="s">
        <v>96</v>
      </c>
      <c r="B136" s="7" t="s">
        <v>358</v>
      </c>
      <c r="C136" s="1" t="s">
        <v>359</v>
      </c>
      <c r="D136" s="1" t="str">
        <f>TEXT(C136,"000\.000\.000\-00")</f>
        <v>000.000.235-00</v>
      </c>
      <c r="E136" s="2">
        <v>33</v>
      </c>
      <c r="F136" s="3">
        <v>33902</v>
      </c>
      <c r="G136" s="2" t="s">
        <v>84</v>
      </c>
      <c r="H136" s="7" t="s">
        <v>122</v>
      </c>
      <c r="I136" s="7" t="str">
        <f>PROPER(Tabela1[[#This Row],[regiao]])</f>
        <v>Campina</v>
      </c>
      <c r="J136" s="8">
        <v>12500</v>
      </c>
      <c r="K136" s="9">
        <v>51500</v>
      </c>
      <c r="L136" s="2" t="s">
        <v>101</v>
      </c>
      <c r="M136" s="2">
        <v>44</v>
      </c>
      <c r="N136" s="2" t="str" cm="1">
        <f t="array" ref="N136">_xlfn.IFS(Tabela1[[#This Row],[qtde_]]="N/A", "N/A",Tabela1[[#This Row],[qtde_]]&lt;11,"BAIXO",Tabela1[[#This Row],[qtde_]]&lt;26,"MÉDIO",Tabela1[[#This Row],[qtde_]]&gt;=26,"ALTO")</f>
        <v>ALTO</v>
      </c>
      <c r="O136" s="12" t="str">
        <f>IF(AND(Tabela1[[#This Row],[nivel_risco]]="ALTO",Tabela1[[#This Row],[flag_inadimplente]] = "Sim"),"negada","aprovada")</f>
        <v>negada</v>
      </c>
      <c r="P136" s="12" t="str">
        <f>IF(AND(Tabela1[[#This Row],[credito_tomado]]&gt;50000,Tabela1[[#This Row],[flag_inadimplente]]="Sim"),"negada","aprovada")</f>
        <v>negada</v>
      </c>
      <c r="Q136" s="6">
        <v>24000</v>
      </c>
      <c r="R136" s="12" t="str" cm="1">
        <f t="array" ref="R13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137" spans="1:18" ht="15.75" customHeight="1" x14ac:dyDescent="0.2">
      <c r="A137" s="2" t="s">
        <v>80</v>
      </c>
      <c r="B137" s="7" t="s">
        <v>209</v>
      </c>
      <c r="C137" s="1" t="s">
        <v>360</v>
      </c>
      <c r="D137" s="1" t="str">
        <f>TEXT(C137,"000\.000\.000\-00")</f>
        <v>000.000.114-00</v>
      </c>
      <c r="E137" s="2">
        <v>72</v>
      </c>
      <c r="F137" s="3">
        <v>19623</v>
      </c>
      <c r="G137" s="2" t="s">
        <v>118</v>
      </c>
      <c r="H137" s="7" t="s">
        <v>119</v>
      </c>
      <c r="I137" s="7" t="str">
        <f>PROPER(Tabela1[[#This Row],[regiao]])</f>
        <v>Oeste</v>
      </c>
      <c r="J137" s="8">
        <v>12600</v>
      </c>
      <c r="K137" s="9">
        <v>5500</v>
      </c>
      <c r="L137" s="2" t="s">
        <v>86</v>
      </c>
      <c r="M137" s="2">
        <v>35</v>
      </c>
      <c r="N137" s="2" t="str" cm="1">
        <f t="array" ref="N137">_xlfn.IFS(Tabela1[[#This Row],[qtde_]]="N/A", "N/A",Tabela1[[#This Row],[qtde_]]&lt;11,"BAIXO",Tabela1[[#This Row],[qtde_]]&lt;26,"MÉDIO",Tabela1[[#This Row],[qtde_]]&gt;=26,"ALTO")</f>
        <v>ALTO</v>
      </c>
      <c r="O137" s="12" t="str">
        <f>IF(AND(Tabela1[[#This Row],[nivel_risco]]="ALTO",Tabela1[[#This Row],[flag_inadimplente]] = "Sim"),"negada","aprovada")</f>
        <v>aprovada</v>
      </c>
      <c r="P137" s="12" t="str">
        <f>IF(AND(Tabela1[[#This Row],[credito_tomado]]&gt;50000,Tabela1[[#This Row],[flag_inadimplente]]="Sim"),"negada","aprovada")</f>
        <v>aprovada</v>
      </c>
      <c r="Q137" s="6">
        <v>21000</v>
      </c>
      <c r="R137" s="12" cm="1">
        <f t="array" ref="R13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1680</v>
      </c>
    </row>
    <row r="138" spans="1:18" ht="15.75" customHeight="1" x14ac:dyDescent="0.2">
      <c r="A138" s="2" t="s">
        <v>80</v>
      </c>
      <c r="B138" s="7" t="s">
        <v>334</v>
      </c>
      <c r="C138" s="1" t="s">
        <v>361</v>
      </c>
      <c r="D138" s="1" t="str">
        <f>TEXT(C138,"000\.000\.000\-00")</f>
        <v>000.000.277-00</v>
      </c>
      <c r="E138" s="2">
        <v>65</v>
      </c>
      <c r="F138" s="3">
        <v>22436</v>
      </c>
      <c r="G138" s="2" t="s">
        <v>144</v>
      </c>
      <c r="H138" s="7" t="s">
        <v>177</v>
      </c>
      <c r="I138" s="7" t="str">
        <f>PROPER(Tabela1[[#This Row],[regiao]])</f>
        <v>Vale</v>
      </c>
      <c r="J138" s="8">
        <v>12700</v>
      </c>
      <c r="K138" s="9">
        <v>60500</v>
      </c>
      <c r="L138" s="2" t="s">
        <v>86</v>
      </c>
      <c r="M138" s="2">
        <v>36</v>
      </c>
      <c r="N138" s="2" t="str" cm="1">
        <f t="array" ref="N138">_xlfn.IFS(Tabela1[[#This Row],[qtde_]]="N/A", "N/A",Tabela1[[#This Row],[qtde_]]&lt;11,"BAIXO",Tabela1[[#This Row],[qtde_]]&lt;26,"MÉDIO",Tabela1[[#This Row],[qtde_]]&gt;=26,"ALTO")</f>
        <v>ALTO</v>
      </c>
      <c r="O138" s="12" t="str">
        <f>IF(AND(Tabela1[[#This Row],[nivel_risco]]="ALTO",Tabela1[[#This Row],[flag_inadimplente]] = "Sim"),"negada","aprovada")</f>
        <v>aprovada</v>
      </c>
      <c r="P138" s="12" t="str">
        <f>IF(AND(Tabela1[[#This Row],[credito_tomado]]&gt;50000,Tabela1[[#This Row],[flag_inadimplente]]="Sim"),"negada","aprovada")</f>
        <v>aprovada</v>
      </c>
      <c r="Q138" s="6">
        <v>28000</v>
      </c>
      <c r="R138" s="12" cm="1">
        <f t="array" ref="R13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2240</v>
      </c>
    </row>
    <row r="139" spans="1:18" ht="15.75" customHeight="1" x14ac:dyDescent="0.2">
      <c r="A139" s="2" t="s">
        <v>80</v>
      </c>
      <c r="B139" s="7" t="s">
        <v>362</v>
      </c>
      <c r="D139" s="1" t="str">
        <f>TEXT(C139,"000\.000\.000\-00")</f>
        <v>000.000.000-00</v>
      </c>
      <c r="E139" s="2">
        <v>73</v>
      </c>
      <c r="F139" s="3">
        <v>19538</v>
      </c>
      <c r="G139" s="2" t="s">
        <v>215</v>
      </c>
      <c r="H139" s="7" t="s">
        <v>53</v>
      </c>
      <c r="I139" s="7" t="str">
        <f>PROPER(Tabela1[[#This Row],[regiao]])</f>
        <v>Terras Da Coroa</v>
      </c>
      <c r="J139" s="8">
        <v>12700</v>
      </c>
      <c r="K139" s="9">
        <v>79500</v>
      </c>
      <c r="L139" s="2" t="s">
        <v>86</v>
      </c>
      <c r="M139" s="2">
        <v>35</v>
      </c>
      <c r="N139" s="2" t="str" cm="1">
        <f t="array" ref="N139">_xlfn.IFS(Tabela1[[#This Row],[qtde_]]="N/A", "N/A",Tabela1[[#This Row],[qtde_]]&lt;11,"BAIXO",Tabela1[[#This Row],[qtde_]]&lt;26,"MÉDIO",Tabela1[[#This Row],[qtde_]]&gt;=26,"ALTO")</f>
        <v>ALTO</v>
      </c>
      <c r="O139" s="12" t="str">
        <f>IF(AND(Tabela1[[#This Row],[nivel_risco]]="ALTO",Tabela1[[#This Row],[flag_inadimplente]] = "Sim"),"negada","aprovada")</f>
        <v>aprovada</v>
      </c>
      <c r="P139" s="12" t="str">
        <f>IF(AND(Tabela1[[#This Row],[credito_tomado]]&gt;50000,Tabela1[[#This Row],[flag_inadimplente]]="Sim"),"negada","aprovada")</f>
        <v>aprovada</v>
      </c>
      <c r="Q139" s="6">
        <v>39000</v>
      </c>
      <c r="R139" s="12" cm="1">
        <f t="array" ref="R13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3120</v>
      </c>
    </row>
    <row r="140" spans="1:18" ht="15.75" customHeight="1" x14ac:dyDescent="0.2">
      <c r="A140" s="2" t="s">
        <v>80</v>
      </c>
      <c r="B140" s="7" t="s">
        <v>363</v>
      </c>
      <c r="C140" s="1" t="s">
        <v>364</v>
      </c>
      <c r="D140" s="1" t="str">
        <f>TEXT(C140,"000\.000\.000\-00")</f>
        <v>000.000.109-00</v>
      </c>
      <c r="E140" s="2">
        <v>64</v>
      </c>
      <c r="F140" s="3">
        <v>22845</v>
      </c>
      <c r="G140" s="2" t="s">
        <v>99</v>
      </c>
      <c r="H140" s="7" t="s">
        <v>157</v>
      </c>
      <c r="I140" s="7" t="str">
        <f>PROPER(Tabela1[[#This Row],[regiao]])</f>
        <v>Norte</v>
      </c>
      <c r="J140" s="8">
        <v>12700</v>
      </c>
      <c r="K140" s="9">
        <v>0</v>
      </c>
      <c r="L140" s="2" t="s">
        <v>86</v>
      </c>
      <c r="M140" s="2">
        <v>21</v>
      </c>
      <c r="N140" s="2" t="str" cm="1">
        <f t="array" ref="N140">_xlfn.IFS(Tabela1[[#This Row],[qtde_]]="N/A", "N/A",Tabela1[[#This Row],[qtde_]]&lt;11,"BAIXO",Tabela1[[#This Row],[qtde_]]&lt;26,"MÉDIO",Tabela1[[#This Row],[qtde_]]&gt;=26,"ALTO")</f>
        <v>MÉDIO</v>
      </c>
      <c r="O140" s="12" t="str">
        <f>IF(AND(Tabela1[[#This Row],[nivel_risco]]="ALTO",Tabela1[[#This Row],[flag_inadimplente]] = "Sim"),"negada","aprovada")</f>
        <v>aprovada</v>
      </c>
      <c r="P140" s="12" t="str">
        <f>IF(AND(Tabela1[[#This Row],[credito_tomado]]&gt;50000,Tabela1[[#This Row],[flag_inadimplente]]="Sim"),"negada","aprovada")</f>
        <v>aprovada</v>
      </c>
      <c r="Q140" s="6">
        <v>50500</v>
      </c>
      <c r="R140" s="12" cm="1">
        <f t="array" ref="R14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4040</v>
      </c>
    </row>
    <row r="141" spans="1:18" ht="15.75" customHeight="1" x14ac:dyDescent="0.2">
      <c r="A141" s="2" t="s">
        <v>80</v>
      </c>
      <c r="B141" s="7" t="s">
        <v>365</v>
      </c>
      <c r="C141" s="1" t="s">
        <v>366</v>
      </c>
      <c r="D141" s="1" t="str">
        <f>TEXT(C141,"000\.000\.000\-00")</f>
        <v>000.000.168-00</v>
      </c>
      <c r="E141" s="2">
        <v>37</v>
      </c>
      <c r="F141" s="3">
        <v>32414</v>
      </c>
      <c r="G141" s="2" t="s">
        <v>367</v>
      </c>
      <c r="H141" s="7" t="s">
        <v>90</v>
      </c>
      <c r="I141" s="7" t="str">
        <f>PROPER(Tabela1[[#This Row],[regiao]])</f>
        <v>Terras Da Coroa</v>
      </c>
      <c r="J141" s="8">
        <v>12800</v>
      </c>
      <c r="K141" s="9">
        <v>76500</v>
      </c>
      <c r="L141" s="2" t="s">
        <v>86</v>
      </c>
      <c r="M141" s="2">
        <v>30</v>
      </c>
      <c r="N141" s="2" t="str" cm="1">
        <f t="array" ref="N141">_xlfn.IFS(Tabela1[[#This Row],[qtde_]]="N/A", "N/A",Tabela1[[#This Row],[qtde_]]&lt;11,"BAIXO",Tabela1[[#This Row],[qtde_]]&lt;26,"MÉDIO",Tabela1[[#This Row],[qtde_]]&gt;=26,"ALTO")</f>
        <v>ALTO</v>
      </c>
      <c r="O141" s="12" t="str">
        <f>IF(AND(Tabela1[[#This Row],[nivel_risco]]="ALTO",Tabela1[[#This Row],[flag_inadimplente]] = "Sim"),"negada","aprovada")</f>
        <v>aprovada</v>
      </c>
      <c r="P141" s="12" t="str">
        <f>IF(AND(Tabela1[[#This Row],[credito_tomado]]&gt;50000,Tabela1[[#This Row],[flag_inadimplente]]="Sim"),"negada","aprovada")</f>
        <v>aprovada</v>
      </c>
      <c r="Q141" s="6">
        <v>18500</v>
      </c>
      <c r="R141" s="12" cm="1">
        <f t="array" ref="R14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1480</v>
      </c>
    </row>
    <row r="142" spans="1:18" ht="15.75" customHeight="1" x14ac:dyDescent="0.2">
      <c r="A142" s="2" t="s">
        <v>80</v>
      </c>
      <c r="B142" s="7" t="s">
        <v>365</v>
      </c>
      <c r="C142" s="1" t="s">
        <v>366</v>
      </c>
      <c r="D142" s="1" t="str">
        <f>TEXT(C142,"000\.000\.000\-00")</f>
        <v>000.000.168-00</v>
      </c>
      <c r="E142" s="2">
        <v>37</v>
      </c>
      <c r="F142" s="3">
        <v>32414</v>
      </c>
      <c r="G142" s="2" t="s">
        <v>367</v>
      </c>
      <c r="H142" s="7" t="s">
        <v>90</v>
      </c>
      <c r="I142" s="7" t="str">
        <f>PROPER(Tabela1[[#This Row],[regiao]])</f>
        <v>Terras Da Coroa</v>
      </c>
      <c r="J142" s="8">
        <v>12800</v>
      </c>
      <c r="K142" s="9">
        <v>76500</v>
      </c>
      <c r="L142" s="2" t="s">
        <v>86</v>
      </c>
      <c r="M142" s="2">
        <v>30</v>
      </c>
      <c r="N142" s="2" t="str" cm="1">
        <f t="array" ref="N142">_xlfn.IFS(Tabela1[[#This Row],[qtde_]]="N/A", "N/A",Tabela1[[#This Row],[qtde_]]&lt;11,"BAIXO",Tabela1[[#This Row],[qtde_]]&lt;26,"MÉDIO",Tabela1[[#This Row],[qtde_]]&gt;=26,"ALTO")</f>
        <v>ALTO</v>
      </c>
      <c r="O142" s="12" t="str">
        <f>IF(AND(Tabela1[[#This Row],[nivel_risco]]="ALTO",Tabela1[[#This Row],[flag_inadimplente]] = "Sim"),"negada","aprovada")</f>
        <v>aprovada</v>
      </c>
      <c r="P142" s="12" t="str">
        <f>IF(AND(Tabela1[[#This Row],[credito_tomado]]&gt;50000,Tabela1[[#This Row],[flag_inadimplente]]="Sim"),"negada","aprovada")</f>
        <v>aprovada</v>
      </c>
      <c r="Q142" s="6">
        <v>95000</v>
      </c>
      <c r="R142" s="12" cm="1">
        <f t="array" ref="R14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7600</v>
      </c>
    </row>
    <row r="143" spans="1:18" ht="15.75" customHeight="1" x14ac:dyDescent="0.2">
      <c r="A143" s="2" t="s">
        <v>96</v>
      </c>
      <c r="B143" s="7" t="s">
        <v>368</v>
      </c>
      <c r="C143" s="1" t="s">
        <v>369</v>
      </c>
      <c r="D143" s="1" t="str">
        <f>TEXT(C143,"000\.000\.000\-00")</f>
        <v>000.000.106-00</v>
      </c>
      <c r="E143" s="2">
        <v>20</v>
      </c>
      <c r="F143" s="3">
        <v>38704</v>
      </c>
      <c r="G143" s="2" t="s">
        <v>197</v>
      </c>
      <c r="H143" s="7" t="s">
        <v>128</v>
      </c>
      <c r="I143" s="7" t="str">
        <f>PROPER(Tabela1[[#This Row],[regiao]])</f>
        <v>Terras Da Tempestade</v>
      </c>
      <c r="J143" s="8">
        <v>12900</v>
      </c>
      <c r="K143" s="9">
        <v>26500</v>
      </c>
      <c r="L143" s="2" t="s">
        <v>86</v>
      </c>
      <c r="M143" s="2">
        <v>13</v>
      </c>
      <c r="N143" s="2" t="str" cm="1">
        <f t="array" ref="N143">_xlfn.IFS(Tabela1[[#This Row],[qtde_]]="N/A", "N/A",Tabela1[[#This Row],[qtde_]]&lt;11,"BAIXO",Tabela1[[#This Row],[qtde_]]&lt;26,"MÉDIO",Tabela1[[#This Row],[qtde_]]&gt;=26,"ALTO")</f>
        <v>MÉDIO</v>
      </c>
      <c r="O143" s="12" t="str">
        <f>IF(AND(Tabela1[[#This Row],[nivel_risco]]="ALTO",Tabela1[[#This Row],[flag_inadimplente]] = "Sim"),"negada","aprovada")</f>
        <v>aprovada</v>
      </c>
      <c r="P143" s="12" t="str">
        <f>IF(AND(Tabela1[[#This Row],[credito_tomado]]&gt;50000,Tabela1[[#This Row],[flag_inadimplente]]="Sim"),"negada","aprovada")</f>
        <v>aprovada</v>
      </c>
      <c r="Q143" s="6">
        <v>2000</v>
      </c>
      <c r="R143" s="12" t="e" cm="1">
        <f t="array" ref="R14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44" spans="1:18" ht="15.75" customHeight="1" x14ac:dyDescent="0.2">
      <c r="A144" s="2" t="s">
        <v>80</v>
      </c>
      <c r="B144" s="7" t="s">
        <v>370</v>
      </c>
      <c r="C144" s="1" t="s">
        <v>371</v>
      </c>
      <c r="D144" s="1" t="str">
        <f>TEXT(C144,"000\.000\.000\-00")</f>
        <v>000.000.191-00</v>
      </c>
      <c r="E144" s="2">
        <v>48</v>
      </c>
      <c r="F144" s="3">
        <v>28647</v>
      </c>
      <c r="G144" s="2" t="s">
        <v>118</v>
      </c>
      <c r="H144" s="7" t="s">
        <v>119</v>
      </c>
      <c r="I144" s="7" t="str">
        <f>PROPER(Tabela1[[#This Row],[regiao]])</f>
        <v>Oeste</v>
      </c>
      <c r="J144" s="8">
        <v>13200</v>
      </c>
      <c r="K144" s="9">
        <v>3500</v>
      </c>
      <c r="L144" s="2" t="s">
        <v>86</v>
      </c>
      <c r="M144" s="2">
        <v>1</v>
      </c>
      <c r="N144" s="2" t="str" cm="1">
        <f t="array" ref="N144">_xlfn.IFS(Tabela1[[#This Row],[qtde_]]="N/A", "N/A",Tabela1[[#This Row],[qtde_]]&lt;11,"BAIXO",Tabela1[[#This Row],[qtde_]]&lt;26,"MÉDIO",Tabela1[[#This Row],[qtde_]]&gt;=26,"ALTO")</f>
        <v>BAIXO</v>
      </c>
      <c r="O144" s="12" t="str">
        <f>IF(AND(Tabela1[[#This Row],[nivel_risco]]="ALTO",Tabela1[[#This Row],[flag_inadimplente]] = "Sim"),"negada","aprovada")</f>
        <v>aprovada</v>
      </c>
      <c r="P144" s="12" t="str">
        <f>IF(AND(Tabela1[[#This Row],[credito_tomado]]&gt;50000,Tabela1[[#This Row],[flag_inadimplente]]="Sim"),"negada","aprovada")</f>
        <v>aprovada</v>
      </c>
      <c r="Q144" s="6">
        <v>32500</v>
      </c>
      <c r="R144" s="12" cm="1">
        <f t="array" ref="R14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2600</v>
      </c>
    </row>
    <row r="145" spans="1:18" ht="15.75" customHeight="1" x14ac:dyDescent="0.2">
      <c r="A145" s="2" t="s">
        <v>80</v>
      </c>
      <c r="B145" s="7" t="s">
        <v>372</v>
      </c>
      <c r="C145" s="1">
        <v>23900</v>
      </c>
      <c r="D145" s="1" t="str">
        <f>TEXT(C145,"000\.000\.000\-00")</f>
        <v>000.000.239-00</v>
      </c>
      <c r="E145" s="2">
        <v>39</v>
      </c>
      <c r="F145" s="3">
        <v>31740</v>
      </c>
      <c r="G145" s="2" t="s">
        <v>94</v>
      </c>
      <c r="H145" s="7" t="s">
        <v>95</v>
      </c>
      <c r="I145" s="7" t="str">
        <f>PROPER(Tabela1[[#This Row],[regiao]])</f>
        <v>Ilhas De Ferro</v>
      </c>
      <c r="J145" s="8">
        <v>13200</v>
      </c>
      <c r="K145" s="9">
        <v>0</v>
      </c>
      <c r="L145" s="2" t="s">
        <v>86</v>
      </c>
      <c r="M145" s="2">
        <v>38</v>
      </c>
      <c r="N145" s="2" t="str" cm="1">
        <f t="array" ref="N145">_xlfn.IFS(Tabela1[[#This Row],[qtde_]]="N/A", "N/A",Tabela1[[#This Row],[qtde_]]&lt;11,"BAIXO",Tabela1[[#This Row],[qtde_]]&lt;26,"MÉDIO",Tabela1[[#This Row],[qtde_]]&gt;=26,"ALTO")</f>
        <v>ALTO</v>
      </c>
      <c r="O145" s="12" t="str">
        <f>IF(AND(Tabela1[[#This Row],[nivel_risco]]="ALTO",Tabela1[[#This Row],[flag_inadimplente]] = "Sim"),"negada","aprovada")</f>
        <v>aprovada</v>
      </c>
      <c r="P145" s="12" t="str">
        <f>IF(AND(Tabela1[[#This Row],[credito_tomado]]&gt;50000,Tabela1[[#This Row],[flag_inadimplente]]="Sim"),"negada","aprovada")</f>
        <v>aprovada</v>
      </c>
      <c r="Q145" s="6">
        <v>36000</v>
      </c>
      <c r="R145" s="12" cm="1">
        <f t="array" ref="R14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2880</v>
      </c>
    </row>
    <row r="146" spans="1:18" ht="15.75" customHeight="1" x14ac:dyDescent="0.2">
      <c r="A146" s="2" t="s">
        <v>96</v>
      </c>
      <c r="B146" s="7" t="s">
        <v>373</v>
      </c>
      <c r="C146" s="1" t="s">
        <v>374</v>
      </c>
      <c r="D146" s="1" t="str">
        <f>TEXT(C146,"000\.000\.000\-00")</f>
        <v>000.000.162-00</v>
      </c>
      <c r="E146" s="2">
        <v>47</v>
      </c>
      <c r="F146" s="3">
        <v>29064</v>
      </c>
      <c r="G146" s="2" t="s">
        <v>153</v>
      </c>
      <c r="H146" s="7" t="s">
        <v>141</v>
      </c>
      <c r="I146" s="7" t="str">
        <f>PROPER(Tabela1[[#This Row],[regiao]])</f>
        <v>Terras Fluviais</v>
      </c>
      <c r="J146" s="8">
        <v>13300</v>
      </c>
      <c r="K146" s="9">
        <v>1000</v>
      </c>
      <c r="L146" s="2" t="s">
        <v>101</v>
      </c>
      <c r="M146" s="2">
        <v>24</v>
      </c>
      <c r="N146" s="2" t="str" cm="1">
        <f t="array" ref="N146">_xlfn.IFS(Tabela1[[#This Row],[qtde_]]="N/A", "N/A",Tabela1[[#This Row],[qtde_]]&lt;11,"BAIXO",Tabela1[[#This Row],[qtde_]]&lt;26,"MÉDIO",Tabela1[[#This Row],[qtde_]]&gt;=26,"ALTO")</f>
        <v>MÉDIO</v>
      </c>
      <c r="O146" s="12" t="str">
        <f>IF(AND(Tabela1[[#This Row],[nivel_risco]]="ALTO",Tabela1[[#This Row],[flag_inadimplente]] = "Sim"),"negada","aprovada")</f>
        <v>aprovada</v>
      </c>
      <c r="P146" s="12" t="str">
        <f>IF(AND(Tabela1[[#This Row],[credito_tomado]]&gt;50000,Tabela1[[#This Row],[flag_inadimplente]]="Sim"),"negada","aprovada")</f>
        <v>aprovada</v>
      </c>
      <c r="Q146" s="6">
        <v>61500</v>
      </c>
      <c r="R146" s="12" t="e" cm="1">
        <f t="array" ref="R14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47" spans="1:18" ht="15.75" customHeight="1" x14ac:dyDescent="0.2">
      <c r="A147" s="2" t="s">
        <v>80</v>
      </c>
      <c r="B147" s="7" t="s">
        <v>375</v>
      </c>
      <c r="C147" s="1" t="s">
        <v>376</v>
      </c>
      <c r="D147" s="1" t="str">
        <f>TEXT(C147,"000\.000\.000\-00")</f>
        <v>000.000.343-00</v>
      </c>
      <c r="E147" s="2">
        <v>48</v>
      </c>
      <c r="F147" s="3">
        <v>28408</v>
      </c>
      <c r="G147" s="2" t="s">
        <v>267</v>
      </c>
      <c r="I147" s="7" t="s">
        <v>113</v>
      </c>
      <c r="J147" s="8">
        <v>13300</v>
      </c>
      <c r="K147" s="9">
        <v>42000</v>
      </c>
      <c r="L147" s="2" t="s">
        <v>101</v>
      </c>
      <c r="M147" s="2">
        <v>27</v>
      </c>
      <c r="N147" s="2" t="str" cm="1">
        <f t="array" ref="N147">_xlfn.IFS(Tabela1[[#This Row],[qtde_]]="N/A", "N/A",Tabela1[[#This Row],[qtde_]]&lt;11,"BAIXO",Tabela1[[#This Row],[qtde_]]&lt;26,"MÉDIO",Tabela1[[#This Row],[qtde_]]&gt;=26,"ALTO")</f>
        <v>ALTO</v>
      </c>
      <c r="O147" s="12" t="str">
        <f>IF(AND(Tabela1[[#This Row],[nivel_risco]]="ALTO",Tabela1[[#This Row],[flag_inadimplente]] = "Sim"),"negada","aprovada")</f>
        <v>negada</v>
      </c>
      <c r="P147" s="12" t="str">
        <f>IF(AND(Tabela1[[#This Row],[credito_tomado]]&gt;50000,Tabela1[[#This Row],[flag_inadimplente]]="Sim"),"negada","aprovada")</f>
        <v>aprovada</v>
      </c>
      <c r="Q147" s="6">
        <v>40000</v>
      </c>
      <c r="R147" s="12" t="e" cm="1">
        <f t="array" ref="R14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48" spans="1:18" ht="15.75" customHeight="1" x14ac:dyDescent="0.2">
      <c r="A148" s="2" t="s">
        <v>80</v>
      </c>
      <c r="B148" s="7" t="s">
        <v>377</v>
      </c>
      <c r="C148" s="1" t="s">
        <v>378</v>
      </c>
      <c r="D148" s="1" t="str">
        <f>TEXT(C148,"000\.000\.000\-00")</f>
        <v>000.000.141-00</v>
      </c>
      <c r="E148" s="2">
        <v>28</v>
      </c>
      <c r="F148" s="3">
        <v>35993</v>
      </c>
      <c r="G148" s="2" t="s">
        <v>118</v>
      </c>
      <c r="H148" s="7" t="s">
        <v>119</v>
      </c>
      <c r="I148" s="7" t="str">
        <f>PROPER(Tabela1[[#This Row],[regiao]])</f>
        <v>Oeste</v>
      </c>
      <c r="J148" s="8">
        <v>13400</v>
      </c>
      <c r="K148" s="9">
        <v>54000</v>
      </c>
      <c r="L148" s="2" t="s">
        <v>86</v>
      </c>
      <c r="M148" s="2">
        <v>15</v>
      </c>
      <c r="N148" s="2" t="str" cm="1">
        <f t="array" ref="N148">_xlfn.IFS(Tabela1[[#This Row],[qtde_]]="N/A", "N/A",Tabela1[[#This Row],[qtde_]]&lt;11,"BAIXO",Tabela1[[#This Row],[qtde_]]&lt;26,"MÉDIO",Tabela1[[#This Row],[qtde_]]&gt;=26,"ALTO")</f>
        <v>MÉDIO</v>
      </c>
      <c r="O148" s="12" t="str">
        <f>IF(AND(Tabela1[[#This Row],[nivel_risco]]="ALTO",Tabela1[[#This Row],[flag_inadimplente]] = "Sim"),"negada","aprovada")</f>
        <v>aprovada</v>
      </c>
      <c r="P148" s="12" t="str">
        <f>IF(AND(Tabela1[[#This Row],[credito_tomado]]&gt;50000,Tabela1[[#This Row],[flag_inadimplente]]="Sim"),"negada","aprovada")</f>
        <v>aprovada</v>
      </c>
      <c r="Q148" s="6">
        <v>99000</v>
      </c>
      <c r="R148" s="12" cm="1">
        <f t="array" ref="R14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7920</v>
      </c>
    </row>
    <row r="149" spans="1:18" ht="15.75" customHeight="1" x14ac:dyDescent="0.2">
      <c r="A149" s="2" t="s">
        <v>96</v>
      </c>
      <c r="B149" s="7" t="s">
        <v>379</v>
      </c>
      <c r="C149" s="1" t="s">
        <v>380</v>
      </c>
      <c r="D149" s="1" t="str">
        <f>TEXT(C149,"000\.000\.000\-00")</f>
        <v>000.000.194-00</v>
      </c>
      <c r="E149" s="2">
        <v>38</v>
      </c>
      <c r="F149" s="3">
        <v>32102</v>
      </c>
      <c r="G149" s="2" t="s">
        <v>94</v>
      </c>
      <c r="H149" s="7" t="s">
        <v>381</v>
      </c>
      <c r="I149" s="7" t="str">
        <f>PROPER(Tabela1[[#This Row],[regiao]])</f>
        <v>Ilhas De Ferro</v>
      </c>
      <c r="J149" s="8">
        <v>13500</v>
      </c>
      <c r="K149" s="9">
        <v>24000</v>
      </c>
      <c r="L149" s="2" t="s">
        <v>86</v>
      </c>
      <c r="M149" s="2">
        <v>2</v>
      </c>
      <c r="N149" s="2" t="str" cm="1">
        <f t="array" ref="N149">_xlfn.IFS(Tabela1[[#This Row],[qtde_]]="N/A", "N/A",Tabela1[[#This Row],[qtde_]]&lt;11,"BAIXO",Tabela1[[#This Row],[qtde_]]&lt;26,"MÉDIO",Tabela1[[#This Row],[qtde_]]&gt;=26,"ALTO")</f>
        <v>BAIXO</v>
      </c>
      <c r="O149" s="12" t="str">
        <f>IF(AND(Tabela1[[#This Row],[nivel_risco]]="ALTO",Tabela1[[#This Row],[flag_inadimplente]] = "Sim"),"negada","aprovada")</f>
        <v>aprovada</v>
      </c>
      <c r="P149" s="12" t="str">
        <f>IF(AND(Tabela1[[#This Row],[credito_tomado]]&gt;50000,Tabela1[[#This Row],[flag_inadimplente]]="Sim"),"negada","aprovada")</f>
        <v>aprovada</v>
      </c>
      <c r="Q149" s="6">
        <v>17500</v>
      </c>
      <c r="R149" s="12" t="e" cm="1">
        <f t="array" ref="R14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50" spans="1:18" ht="15.75" customHeight="1" x14ac:dyDescent="0.2">
      <c r="A150" s="2" t="s">
        <v>80</v>
      </c>
      <c r="B150" s="7" t="s">
        <v>382</v>
      </c>
      <c r="C150" s="1" t="s">
        <v>383</v>
      </c>
      <c r="D150" s="1" t="str">
        <f>TEXT(C150,"000\.000\.000\-00")</f>
        <v>000.000.308-00</v>
      </c>
      <c r="E150" s="2">
        <v>60</v>
      </c>
      <c r="F150" s="3">
        <v>24082</v>
      </c>
      <c r="G150" s="2" t="s">
        <v>108</v>
      </c>
      <c r="H150" s="7" t="s">
        <v>130</v>
      </c>
      <c r="I150" s="7" t="str">
        <f>PROPER(Tabela1[[#This Row],[regiao]])</f>
        <v>Gargalo</v>
      </c>
      <c r="J150" s="8">
        <v>13800</v>
      </c>
      <c r="K150" s="9">
        <v>45500</v>
      </c>
      <c r="L150" s="2" t="s">
        <v>86</v>
      </c>
      <c r="M150" s="2">
        <v>30</v>
      </c>
      <c r="N150" s="2" t="str" cm="1">
        <f t="array" ref="N150">_xlfn.IFS(Tabela1[[#This Row],[qtde_]]="N/A", "N/A",Tabela1[[#This Row],[qtde_]]&lt;11,"BAIXO",Tabela1[[#This Row],[qtde_]]&lt;26,"MÉDIO",Tabela1[[#This Row],[qtde_]]&gt;=26,"ALTO")</f>
        <v>ALTO</v>
      </c>
      <c r="O150" s="12" t="str">
        <f>IF(AND(Tabela1[[#This Row],[nivel_risco]]="ALTO",Tabela1[[#This Row],[flag_inadimplente]] = "Sim"),"negada","aprovada")</f>
        <v>aprovada</v>
      </c>
      <c r="P150" s="12" t="str">
        <f>IF(AND(Tabela1[[#This Row],[credito_tomado]]&gt;50000,Tabela1[[#This Row],[flag_inadimplente]]="Sim"),"negada","aprovada")</f>
        <v>aprovada</v>
      </c>
      <c r="Q150" s="6">
        <v>17500</v>
      </c>
      <c r="R150" s="12" cm="1">
        <f t="array" ref="R15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1400</v>
      </c>
    </row>
    <row r="151" spans="1:18" ht="15.75" customHeight="1" x14ac:dyDescent="0.2">
      <c r="A151" s="2" t="s">
        <v>96</v>
      </c>
      <c r="B151" s="7" t="s">
        <v>384</v>
      </c>
      <c r="C151" s="1" t="s">
        <v>385</v>
      </c>
      <c r="D151" s="1" t="str">
        <f>TEXT(C151,"000\.000\.000\-00")</f>
        <v>000.000.357-00</v>
      </c>
      <c r="E151" s="2">
        <v>29</v>
      </c>
      <c r="F151" s="3">
        <v>35607</v>
      </c>
      <c r="G151" s="2" t="s">
        <v>156</v>
      </c>
      <c r="H151" s="7" t="s">
        <v>113</v>
      </c>
      <c r="I151" s="7" t="str">
        <f>PROPER(Tabela1[[#This Row],[regiao]])</f>
        <v>Norte</v>
      </c>
      <c r="J151" s="8">
        <v>13800</v>
      </c>
      <c r="K151" s="9">
        <v>41500</v>
      </c>
      <c r="L151" s="2" t="s">
        <v>86</v>
      </c>
      <c r="M151" s="2">
        <v>34</v>
      </c>
      <c r="N151" s="2" t="str" cm="1">
        <f t="array" ref="N151">_xlfn.IFS(Tabela1[[#This Row],[qtde_]]="N/A", "N/A",Tabela1[[#This Row],[qtde_]]&lt;11,"BAIXO",Tabela1[[#This Row],[qtde_]]&lt;26,"MÉDIO",Tabela1[[#This Row],[qtde_]]&gt;=26,"ALTO")</f>
        <v>ALTO</v>
      </c>
      <c r="O151" s="12" t="str">
        <f>IF(AND(Tabela1[[#This Row],[nivel_risco]]="ALTO",Tabela1[[#This Row],[flag_inadimplente]] = "Sim"),"negada","aprovada")</f>
        <v>aprovada</v>
      </c>
      <c r="P151" s="12" t="str">
        <f>IF(AND(Tabela1[[#This Row],[credito_tomado]]&gt;50000,Tabela1[[#This Row],[flag_inadimplente]]="Sim"),"negada","aprovada")</f>
        <v>aprovada</v>
      </c>
      <c r="Q151" s="6">
        <v>66000</v>
      </c>
      <c r="R151" s="12" t="e" cm="1">
        <f t="array" ref="R15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52" spans="1:18" ht="15.75" customHeight="1" x14ac:dyDescent="0.2">
      <c r="A152" s="2" t="s">
        <v>80</v>
      </c>
      <c r="B152" s="7" t="s">
        <v>386</v>
      </c>
      <c r="C152" s="1" t="s">
        <v>387</v>
      </c>
      <c r="D152" s="1" t="str">
        <f>TEXT(C152,"000\.000\.000\-00")</f>
        <v>000.000.236-00</v>
      </c>
      <c r="E152" s="2">
        <v>69</v>
      </c>
      <c r="F152" s="3">
        <v>20943</v>
      </c>
      <c r="G152" s="2" t="s">
        <v>367</v>
      </c>
      <c r="H152" s="7" t="s">
        <v>90</v>
      </c>
      <c r="I152" s="7" t="str">
        <f>PROPER(Tabela1[[#This Row],[regiao]])</f>
        <v>Terras Da Coroa</v>
      </c>
      <c r="J152" s="8">
        <v>13800</v>
      </c>
      <c r="K152" s="9">
        <v>62000</v>
      </c>
      <c r="L152" s="2" t="s">
        <v>86</v>
      </c>
      <c r="M152" s="2">
        <v>31</v>
      </c>
      <c r="N152" s="2" t="str" cm="1">
        <f t="array" ref="N152">_xlfn.IFS(Tabela1[[#This Row],[qtde_]]="N/A", "N/A",Tabela1[[#This Row],[qtde_]]&lt;11,"BAIXO",Tabela1[[#This Row],[qtde_]]&lt;26,"MÉDIO",Tabela1[[#This Row],[qtde_]]&gt;=26,"ALTO")</f>
        <v>ALTO</v>
      </c>
      <c r="O152" s="12" t="str">
        <f>IF(AND(Tabela1[[#This Row],[nivel_risco]]="ALTO",Tabela1[[#This Row],[flag_inadimplente]] = "Sim"),"negada","aprovada")</f>
        <v>aprovada</v>
      </c>
      <c r="P152" s="12" t="str">
        <f>IF(AND(Tabela1[[#This Row],[credito_tomado]]&gt;50000,Tabela1[[#This Row],[flag_inadimplente]]="Sim"),"negada","aprovada")</f>
        <v>aprovada</v>
      </c>
      <c r="Q152" s="6">
        <v>60500</v>
      </c>
      <c r="R152" s="12" cm="1">
        <f t="array" ref="R15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4840</v>
      </c>
    </row>
    <row r="153" spans="1:18" ht="15.75" customHeight="1" x14ac:dyDescent="0.2">
      <c r="A153" s="2" t="s">
        <v>80</v>
      </c>
      <c r="B153" s="7" t="s">
        <v>388</v>
      </c>
      <c r="C153" s="1" t="s">
        <v>389</v>
      </c>
      <c r="D153" s="1" t="str">
        <f>TEXT(C153,"000\.000\.000\-00")</f>
        <v>000.000.313-00</v>
      </c>
      <c r="E153" s="2">
        <v>30</v>
      </c>
      <c r="F153" s="3">
        <v>35180</v>
      </c>
      <c r="G153" s="2" t="s">
        <v>156</v>
      </c>
      <c r="H153" s="7" t="s">
        <v>113</v>
      </c>
      <c r="I153" s="7" t="str">
        <f>PROPER(Tabela1[[#This Row],[regiao]])</f>
        <v>Norte</v>
      </c>
      <c r="J153" s="8">
        <v>13800</v>
      </c>
      <c r="K153" s="9">
        <v>42000</v>
      </c>
      <c r="L153" s="2" t="s">
        <v>83</v>
      </c>
      <c r="M153" s="2">
        <v>29</v>
      </c>
      <c r="N153" s="2" t="str" cm="1">
        <f t="array" ref="N153">_xlfn.IFS(Tabela1[[#This Row],[qtde_]]="N/A", "N/A",Tabela1[[#This Row],[qtde_]]&lt;11,"BAIXO",Tabela1[[#This Row],[qtde_]]&lt;26,"MÉDIO",Tabela1[[#This Row],[qtde_]]&gt;=26,"ALTO")</f>
        <v>ALTO</v>
      </c>
      <c r="O153" s="12" t="str">
        <f>IF(AND(Tabela1[[#This Row],[nivel_risco]]="ALTO",Tabela1[[#This Row],[flag_inadimplente]] = "Sim"),"negada","aprovada")</f>
        <v>aprovada</v>
      </c>
      <c r="P153" s="12" t="str">
        <f>IF(AND(Tabela1[[#This Row],[credito_tomado]]&gt;50000,Tabela1[[#This Row],[flag_inadimplente]]="Sim"),"negada","aprovada")</f>
        <v>aprovada</v>
      </c>
      <c r="Q153" s="6">
        <v>7000</v>
      </c>
      <c r="R153" s="12" t="str" cm="1">
        <f t="array" ref="R15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154" spans="1:18" ht="15.75" customHeight="1" x14ac:dyDescent="0.2">
      <c r="A154" s="2" t="s">
        <v>80</v>
      </c>
      <c r="B154" s="7" t="s">
        <v>390</v>
      </c>
      <c r="C154" s="1" t="s">
        <v>391</v>
      </c>
      <c r="D154" s="1" t="str">
        <f>TEXT(C154,"000\.000\.000\-00")</f>
        <v>000.000.167-00</v>
      </c>
      <c r="E154" s="2">
        <v>26</v>
      </c>
      <c r="F154" s="3">
        <v>36475</v>
      </c>
      <c r="G154" s="2" t="s">
        <v>392</v>
      </c>
      <c r="H154" s="7" t="s">
        <v>141</v>
      </c>
      <c r="I154" s="7" t="str">
        <f>PROPER(Tabela1[[#This Row],[regiao]])</f>
        <v>Terras Fluviais</v>
      </c>
      <c r="J154" s="8">
        <v>13900</v>
      </c>
      <c r="K154" s="9">
        <v>53500</v>
      </c>
      <c r="L154" s="2" t="s">
        <v>86</v>
      </c>
      <c r="M154" s="2">
        <v>12</v>
      </c>
      <c r="N154" s="2" t="str" cm="1">
        <f t="array" ref="N154">_xlfn.IFS(Tabela1[[#This Row],[qtde_]]="N/A", "N/A",Tabela1[[#This Row],[qtde_]]&lt;11,"BAIXO",Tabela1[[#This Row],[qtde_]]&lt;26,"MÉDIO",Tabela1[[#This Row],[qtde_]]&gt;=26,"ALTO")</f>
        <v>MÉDIO</v>
      </c>
      <c r="O154" s="12" t="str">
        <f>IF(AND(Tabela1[[#This Row],[nivel_risco]]="ALTO",Tabela1[[#This Row],[flag_inadimplente]] = "Sim"),"negada","aprovada")</f>
        <v>aprovada</v>
      </c>
      <c r="P154" s="12" t="str">
        <f>IF(AND(Tabela1[[#This Row],[credito_tomado]]&gt;50000,Tabela1[[#This Row],[flag_inadimplente]]="Sim"),"negada","aprovada")</f>
        <v>aprovada</v>
      </c>
      <c r="Q154" s="6">
        <v>85000</v>
      </c>
      <c r="R154" s="12" cm="1">
        <f t="array" ref="R15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6800</v>
      </c>
    </row>
    <row r="155" spans="1:18" ht="15.75" customHeight="1" x14ac:dyDescent="0.2">
      <c r="A155" s="2" t="s">
        <v>80</v>
      </c>
      <c r="B155" s="7" t="s">
        <v>393</v>
      </c>
      <c r="C155" s="1">
        <v>16300</v>
      </c>
      <c r="D155" s="1" t="str">
        <f>TEXT(C155,"000\.000\.000\-00")</f>
        <v>000.000.163-00</v>
      </c>
      <c r="E155" s="2">
        <v>27</v>
      </c>
      <c r="F155" s="3">
        <v>36255</v>
      </c>
      <c r="G155" s="2" t="s">
        <v>112</v>
      </c>
      <c r="H155" s="7" t="s">
        <v>113</v>
      </c>
      <c r="I155" s="7" t="str">
        <f>PROPER(Tabela1[[#This Row],[regiao]])</f>
        <v>Norte</v>
      </c>
      <c r="J155" s="8">
        <v>14000</v>
      </c>
      <c r="K155" s="9">
        <v>63500</v>
      </c>
      <c r="L155" s="2" t="s">
        <v>86</v>
      </c>
      <c r="M155" s="2">
        <v>24</v>
      </c>
      <c r="N155" s="2" t="str" cm="1">
        <f t="array" ref="N155">_xlfn.IFS(Tabela1[[#This Row],[qtde_]]="N/A", "N/A",Tabela1[[#This Row],[qtde_]]&lt;11,"BAIXO",Tabela1[[#This Row],[qtde_]]&lt;26,"MÉDIO",Tabela1[[#This Row],[qtde_]]&gt;=26,"ALTO")</f>
        <v>MÉDIO</v>
      </c>
      <c r="O155" s="12" t="str">
        <f>IF(AND(Tabela1[[#This Row],[nivel_risco]]="ALTO",Tabela1[[#This Row],[flag_inadimplente]] = "Sim"),"negada","aprovada")</f>
        <v>aprovada</v>
      </c>
      <c r="P155" s="12" t="str">
        <f>IF(AND(Tabela1[[#This Row],[credito_tomado]]&gt;50000,Tabela1[[#This Row],[flag_inadimplente]]="Sim"),"negada","aprovada")</f>
        <v>aprovada</v>
      </c>
      <c r="Q155" s="6">
        <v>87000</v>
      </c>
      <c r="R155" s="12" cm="1">
        <f t="array" ref="R15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6960</v>
      </c>
    </row>
    <row r="156" spans="1:18" ht="15.75" customHeight="1" x14ac:dyDescent="0.2">
      <c r="A156" s="2" t="s">
        <v>80</v>
      </c>
      <c r="B156" s="7" t="s">
        <v>394</v>
      </c>
      <c r="C156" s="1">
        <v>7700</v>
      </c>
      <c r="D156" s="1" t="str">
        <f>TEXT(C156,"000\.000\.000\-00")</f>
        <v>000.000.077-00</v>
      </c>
      <c r="E156" s="2" t="s">
        <v>83</v>
      </c>
      <c r="F156" s="3">
        <v>31337</v>
      </c>
      <c r="G156" s="2" t="s">
        <v>132</v>
      </c>
      <c r="H156" s="7" t="s">
        <v>141</v>
      </c>
      <c r="I156" s="7" t="str">
        <f>PROPER(Tabela1[[#This Row],[regiao]])</f>
        <v>Terras Fluviais</v>
      </c>
      <c r="J156" s="8">
        <v>14000</v>
      </c>
      <c r="K156" s="9">
        <v>0</v>
      </c>
      <c r="L156" s="2" t="s">
        <v>86</v>
      </c>
      <c r="M156" s="2">
        <v>24</v>
      </c>
      <c r="N156" s="2" t="str" cm="1">
        <f t="array" ref="N156">_xlfn.IFS(Tabela1[[#This Row],[qtde_]]="N/A", "N/A",Tabela1[[#This Row],[qtde_]]&lt;11,"BAIXO",Tabela1[[#This Row],[qtde_]]&lt;26,"MÉDIO",Tabela1[[#This Row],[qtde_]]&gt;=26,"ALTO")</f>
        <v>MÉDIO</v>
      </c>
      <c r="O156" s="12" t="str">
        <f>IF(AND(Tabela1[[#This Row],[nivel_risco]]="ALTO",Tabela1[[#This Row],[flag_inadimplente]] = "Sim"),"negada","aprovada")</f>
        <v>aprovada</v>
      </c>
      <c r="P156" s="12" t="str">
        <f>IF(AND(Tabela1[[#This Row],[credito_tomado]]&gt;50000,Tabela1[[#This Row],[flag_inadimplente]]="Sim"),"negada","aprovada")</f>
        <v>aprovada</v>
      </c>
      <c r="Q156" s="6">
        <v>82000</v>
      </c>
      <c r="R156" s="12" cm="1">
        <f t="array" ref="R15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6560</v>
      </c>
    </row>
    <row r="157" spans="1:18" ht="15.75" customHeight="1" x14ac:dyDescent="0.2">
      <c r="A157" s="2" t="s">
        <v>80</v>
      </c>
      <c r="B157" s="7" t="s">
        <v>395</v>
      </c>
      <c r="C157" s="1">
        <v>27200</v>
      </c>
      <c r="D157" s="1" t="str">
        <f>TEXT(C157,"000\.000\.000\-00")</f>
        <v>000.000.272-00</v>
      </c>
      <c r="E157" s="2">
        <v>56</v>
      </c>
      <c r="F157" s="3">
        <v>25710</v>
      </c>
      <c r="G157" s="2" t="s">
        <v>99</v>
      </c>
      <c r="H157" s="7" t="s">
        <v>113</v>
      </c>
      <c r="I157" s="7" t="str">
        <f>PROPER(Tabela1[[#This Row],[regiao]])</f>
        <v>Norte</v>
      </c>
      <c r="J157" s="8">
        <v>14100</v>
      </c>
      <c r="K157" s="9">
        <v>1500</v>
      </c>
      <c r="L157" s="2" t="s">
        <v>86</v>
      </c>
      <c r="M157" s="2">
        <v>26</v>
      </c>
      <c r="N157" s="2" t="str" cm="1">
        <f t="array" ref="N157">_xlfn.IFS(Tabela1[[#This Row],[qtde_]]="N/A", "N/A",Tabela1[[#This Row],[qtde_]]&lt;11,"BAIXO",Tabela1[[#This Row],[qtde_]]&lt;26,"MÉDIO",Tabela1[[#This Row],[qtde_]]&gt;=26,"ALTO")</f>
        <v>ALTO</v>
      </c>
      <c r="O157" s="12" t="str">
        <f>IF(AND(Tabela1[[#This Row],[nivel_risco]]="ALTO",Tabela1[[#This Row],[flag_inadimplente]] = "Sim"),"negada","aprovada")</f>
        <v>aprovada</v>
      </c>
      <c r="P157" s="12" t="str">
        <f>IF(AND(Tabela1[[#This Row],[credito_tomado]]&gt;50000,Tabela1[[#This Row],[flag_inadimplente]]="Sim"),"negada","aprovada")</f>
        <v>aprovada</v>
      </c>
      <c r="Q157" s="6">
        <v>36000</v>
      </c>
      <c r="R157" s="12" cm="1">
        <f t="array" ref="R15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2880</v>
      </c>
    </row>
    <row r="158" spans="1:18" ht="15.75" customHeight="1" x14ac:dyDescent="0.2">
      <c r="A158" s="2" t="s">
        <v>80</v>
      </c>
      <c r="B158" s="7" t="s">
        <v>396</v>
      </c>
      <c r="C158" s="1" t="s">
        <v>397</v>
      </c>
      <c r="D158" s="1" t="str">
        <f>TEXT(C158,"000\.000\.000\-00")</f>
        <v>000.000.304-00</v>
      </c>
      <c r="E158" s="2">
        <v>18</v>
      </c>
      <c r="F158" s="3">
        <v>39338</v>
      </c>
      <c r="G158" s="2" t="s">
        <v>99</v>
      </c>
      <c r="H158" s="7" t="s">
        <v>100</v>
      </c>
      <c r="I158" s="7" t="str">
        <f>PROPER(Tabela1[[#This Row],[regiao]])</f>
        <v>Norte</v>
      </c>
      <c r="J158" s="8">
        <v>14100</v>
      </c>
      <c r="K158" s="9">
        <v>38500</v>
      </c>
      <c r="L158" s="2" t="s">
        <v>86</v>
      </c>
      <c r="M158" s="2">
        <v>7</v>
      </c>
      <c r="N158" s="2" t="str" cm="1">
        <f t="array" ref="N158">_xlfn.IFS(Tabela1[[#This Row],[qtde_]]="N/A", "N/A",Tabela1[[#This Row],[qtde_]]&lt;11,"BAIXO",Tabela1[[#This Row],[qtde_]]&lt;26,"MÉDIO",Tabela1[[#This Row],[qtde_]]&gt;=26,"ALTO")</f>
        <v>BAIXO</v>
      </c>
      <c r="O158" s="12" t="str">
        <f>IF(AND(Tabela1[[#This Row],[nivel_risco]]="ALTO",Tabela1[[#This Row],[flag_inadimplente]] = "Sim"),"negada","aprovada")</f>
        <v>aprovada</v>
      </c>
      <c r="P158" s="12" t="str">
        <f>IF(AND(Tabela1[[#This Row],[credito_tomado]]&gt;50000,Tabela1[[#This Row],[flag_inadimplente]]="Sim"),"negada","aprovada")</f>
        <v>aprovada</v>
      </c>
      <c r="Q158" s="6">
        <v>11000</v>
      </c>
      <c r="R158" s="12" cm="1">
        <f t="array" ref="R15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880</v>
      </c>
    </row>
    <row r="159" spans="1:18" ht="15.75" customHeight="1" x14ac:dyDescent="0.2">
      <c r="A159" s="2" t="s">
        <v>80</v>
      </c>
      <c r="B159" s="7" t="s">
        <v>398</v>
      </c>
      <c r="C159" s="1" t="s">
        <v>399</v>
      </c>
      <c r="D159" s="1" t="str">
        <f>TEXT(C159,"000\.000\.000\-00")</f>
        <v>000.000.153-00</v>
      </c>
      <c r="E159" s="2">
        <v>24</v>
      </c>
      <c r="F159" s="3">
        <v>37394</v>
      </c>
      <c r="G159" s="2" t="s">
        <v>400</v>
      </c>
      <c r="H159" s="7" t="s">
        <v>119</v>
      </c>
      <c r="I159" s="7" t="str">
        <f>PROPER(Tabela1[[#This Row],[regiao]])</f>
        <v>Oeste</v>
      </c>
      <c r="J159" s="8">
        <v>14200</v>
      </c>
      <c r="K159" s="9">
        <v>71000</v>
      </c>
      <c r="L159" s="2" t="s">
        <v>86</v>
      </c>
      <c r="M159" s="2">
        <v>10</v>
      </c>
      <c r="N159" s="2" t="str" cm="1">
        <f t="array" ref="N159">_xlfn.IFS(Tabela1[[#This Row],[qtde_]]="N/A", "N/A",Tabela1[[#This Row],[qtde_]]&lt;11,"BAIXO",Tabela1[[#This Row],[qtde_]]&lt;26,"MÉDIO",Tabela1[[#This Row],[qtde_]]&gt;=26,"ALTO")</f>
        <v>BAIXO</v>
      </c>
      <c r="O159" s="12" t="str">
        <f>IF(AND(Tabela1[[#This Row],[nivel_risco]]="ALTO",Tabela1[[#This Row],[flag_inadimplente]] = "Sim"),"negada","aprovada")</f>
        <v>aprovada</v>
      </c>
      <c r="P159" s="12" t="str">
        <f>IF(AND(Tabela1[[#This Row],[credito_tomado]]&gt;50000,Tabela1[[#This Row],[flag_inadimplente]]="Sim"),"negada","aprovada")</f>
        <v>aprovada</v>
      </c>
      <c r="Q159" s="6">
        <v>91500</v>
      </c>
      <c r="R159" s="12" cm="1">
        <f t="array" ref="R15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7320</v>
      </c>
    </row>
    <row r="160" spans="1:18" ht="15.75" customHeight="1" x14ac:dyDescent="0.2">
      <c r="A160" s="2" t="s">
        <v>80</v>
      </c>
      <c r="B160" s="7" t="s">
        <v>401</v>
      </c>
      <c r="C160" s="1" t="s">
        <v>402</v>
      </c>
      <c r="D160" s="1" t="str">
        <f>TEXT(C160,"000\.000\.000\-00")</f>
        <v>000.000.351-00</v>
      </c>
      <c r="E160" s="2">
        <v>71</v>
      </c>
      <c r="F160" s="3">
        <v>20275</v>
      </c>
      <c r="G160" s="2" t="s">
        <v>118</v>
      </c>
      <c r="H160" s="7" t="s">
        <v>119</v>
      </c>
      <c r="I160" s="7" t="str">
        <f>PROPER(Tabela1[[#This Row],[regiao]])</f>
        <v>Oeste</v>
      </c>
      <c r="J160" s="8">
        <v>14200</v>
      </c>
      <c r="K160" s="9">
        <v>51000</v>
      </c>
      <c r="L160" s="2" t="s">
        <v>86</v>
      </c>
      <c r="M160" s="2">
        <v>10</v>
      </c>
      <c r="N160" s="2" t="str" cm="1">
        <f t="array" ref="N160">_xlfn.IFS(Tabela1[[#This Row],[qtde_]]="N/A", "N/A",Tabela1[[#This Row],[qtde_]]&lt;11,"BAIXO",Tabela1[[#This Row],[qtde_]]&lt;26,"MÉDIO",Tabela1[[#This Row],[qtde_]]&gt;=26,"ALTO")</f>
        <v>BAIXO</v>
      </c>
      <c r="O160" s="12" t="str">
        <f>IF(AND(Tabela1[[#This Row],[nivel_risco]]="ALTO",Tabela1[[#This Row],[flag_inadimplente]] = "Sim"),"negada","aprovada")</f>
        <v>aprovada</v>
      </c>
      <c r="P160" s="12" t="str">
        <f>IF(AND(Tabela1[[#This Row],[credito_tomado]]&gt;50000,Tabela1[[#This Row],[flag_inadimplente]]="Sim"),"negada","aprovada")</f>
        <v>aprovada</v>
      </c>
      <c r="Q160" s="6">
        <v>90500</v>
      </c>
      <c r="R160" s="12" cm="1">
        <f t="array" ref="R16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7240</v>
      </c>
    </row>
    <row r="161" spans="1:18" ht="15.75" customHeight="1" x14ac:dyDescent="0.2">
      <c r="A161" s="2" t="s">
        <v>80</v>
      </c>
      <c r="B161" s="7" t="s">
        <v>403</v>
      </c>
      <c r="C161" s="1" t="s">
        <v>404</v>
      </c>
      <c r="D161" s="1" t="str">
        <f>TEXT(C161,"000\.000\.000\-00")</f>
        <v>000.000.184-00</v>
      </c>
      <c r="E161" s="2" t="s">
        <v>83</v>
      </c>
      <c r="F161" s="3">
        <v>21378</v>
      </c>
      <c r="G161" s="2" t="s">
        <v>138</v>
      </c>
      <c r="I161" s="7" t="s">
        <v>139</v>
      </c>
      <c r="J161" s="8">
        <v>14300</v>
      </c>
      <c r="K161" s="9">
        <v>32500</v>
      </c>
      <c r="L161" s="2" t="s">
        <v>101</v>
      </c>
      <c r="M161" s="2">
        <v>15</v>
      </c>
      <c r="N161" s="2" t="str" cm="1">
        <f t="array" ref="N161">_xlfn.IFS(Tabela1[[#This Row],[qtde_]]="N/A", "N/A",Tabela1[[#This Row],[qtde_]]&lt;11,"BAIXO",Tabela1[[#This Row],[qtde_]]&lt;26,"MÉDIO",Tabela1[[#This Row],[qtde_]]&gt;=26,"ALTO")</f>
        <v>MÉDIO</v>
      </c>
      <c r="O161" s="12" t="str">
        <f>IF(AND(Tabela1[[#This Row],[nivel_risco]]="ALTO",Tabela1[[#This Row],[flag_inadimplente]] = "Sim"),"negada","aprovada")</f>
        <v>aprovada</v>
      </c>
      <c r="P161" s="12" t="str">
        <f>IF(AND(Tabela1[[#This Row],[credito_tomado]]&gt;50000,Tabela1[[#This Row],[flag_inadimplente]]="Sim"),"negada","aprovada")</f>
        <v>aprovada</v>
      </c>
      <c r="Q161" s="6">
        <v>8000</v>
      </c>
      <c r="R161" s="12" cm="1">
        <f t="array" ref="R16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640</v>
      </c>
    </row>
    <row r="162" spans="1:18" ht="15.75" customHeight="1" x14ac:dyDescent="0.2">
      <c r="A162" s="2" t="s">
        <v>96</v>
      </c>
      <c r="B162" s="7" t="s">
        <v>405</v>
      </c>
      <c r="C162" s="1" t="s">
        <v>406</v>
      </c>
      <c r="D162" s="1" t="str">
        <f>TEXT(C162,"000\.000\.000\-00")</f>
        <v>000.000.332-00</v>
      </c>
      <c r="E162" s="2">
        <v>66</v>
      </c>
      <c r="F162" s="3">
        <v>22039</v>
      </c>
      <c r="G162" s="2" t="s">
        <v>115</v>
      </c>
      <c r="H162" s="7" t="s">
        <v>276</v>
      </c>
      <c r="I162" s="7" t="str">
        <f>PROPER(Tabela1[[#This Row],[regiao]])</f>
        <v>Dorne</v>
      </c>
      <c r="J162" s="8">
        <v>14300</v>
      </c>
      <c r="K162" s="9">
        <v>78000</v>
      </c>
      <c r="L162" s="2" t="s">
        <v>86</v>
      </c>
      <c r="M162" s="2">
        <v>28</v>
      </c>
      <c r="N162" s="2" t="str" cm="1">
        <f t="array" ref="N162">_xlfn.IFS(Tabela1[[#This Row],[qtde_]]="N/A", "N/A",Tabela1[[#This Row],[qtde_]]&lt;11,"BAIXO",Tabela1[[#This Row],[qtde_]]&lt;26,"MÉDIO",Tabela1[[#This Row],[qtde_]]&gt;=26,"ALTO")</f>
        <v>ALTO</v>
      </c>
      <c r="O162" s="12" t="str">
        <f>IF(AND(Tabela1[[#This Row],[nivel_risco]]="ALTO",Tabela1[[#This Row],[flag_inadimplente]] = "Sim"),"negada","aprovada")</f>
        <v>aprovada</v>
      </c>
      <c r="P162" s="12" t="str">
        <f>IF(AND(Tabela1[[#This Row],[credito_tomado]]&gt;50000,Tabela1[[#This Row],[flag_inadimplente]]="Sim"),"negada","aprovada")</f>
        <v>aprovada</v>
      </c>
      <c r="Q162" s="6">
        <v>74500</v>
      </c>
      <c r="R162" s="12" t="e" cm="1">
        <f t="array" ref="R16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63" spans="1:18" ht="15.75" customHeight="1" x14ac:dyDescent="0.2">
      <c r="A163" s="2" t="s">
        <v>80</v>
      </c>
      <c r="B163" s="7" t="s">
        <v>187</v>
      </c>
      <c r="C163" s="1" t="s">
        <v>407</v>
      </c>
      <c r="D163" s="1" t="str">
        <f>TEXT(C163,"000\.000\.000\-00")</f>
        <v>000.000.042-00</v>
      </c>
      <c r="E163" s="2">
        <v>22</v>
      </c>
      <c r="F163" s="3" t="s">
        <v>83</v>
      </c>
      <c r="G163" s="2" t="s">
        <v>138</v>
      </c>
      <c r="H163" s="7" t="s">
        <v>139</v>
      </c>
      <c r="I163" s="7" t="str">
        <f>PROPER(Tabela1[[#This Row],[regiao]])</f>
        <v>Essos</v>
      </c>
      <c r="J163" s="8">
        <v>14400</v>
      </c>
      <c r="K163" s="9">
        <v>0</v>
      </c>
      <c r="L163" s="2" t="s">
        <v>86</v>
      </c>
      <c r="M163" s="2">
        <v>27</v>
      </c>
      <c r="N163" s="2" t="str" cm="1">
        <f t="array" ref="N163">_xlfn.IFS(Tabela1[[#This Row],[qtde_]]="N/A", "N/A",Tabela1[[#This Row],[qtde_]]&lt;11,"BAIXO",Tabela1[[#This Row],[qtde_]]&lt;26,"MÉDIO",Tabela1[[#This Row],[qtde_]]&gt;=26,"ALTO")</f>
        <v>ALTO</v>
      </c>
      <c r="O163" s="12" t="str">
        <f>IF(AND(Tabela1[[#This Row],[nivel_risco]]="ALTO",Tabela1[[#This Row],[flag_inadimplente]] = "Sim"),"negada","aprovada")</f>
        <v>aprovada</v>
      </c>
      <c r="P163" s="12" t="str">
        <f>IF(AND(Tabela1[[#This Row],[credito_tomado]]&gt;50000,Tabela1[[#This Row],[flag_inadimplente]]="Sim"),"negada","aprovada")</f>
        <v>aprovada</v>
      </c>
      <c r="Q163" s="6">
        <v>33500</v>
      </c>
      <c r="R163" s="12" cm="1">
        <f t="array" ref="R16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2680</v>
      </c>
    </row>
    <row r="164" spans="1:18" ht="15.75" customHeight="1" x14ac:dyDescent="0.2">
      <c r="A164" s="2" t="s">
        <v>80</v>
      </c>
      <c r="B164" s="7" t="s">
        <v>408</v>
      </c>
      <c r="C164" s="1" t="s">
        <v>409</v>
      </c>
      <c r="D164" s="1" t="str">
        <f>TEXT(C164,"000\.000\.000\-00")</f>
        <v>000.000.232-00</v>
      </c>
      <c r="E164" s="2">
        <v>28</v>
      </c>
      <c r="F164" s="3" t="s">
        <v>83</v>
      </c>
      <c r="G164" s="2" t="s">
        <v>124</v>
      </c>
      <c r="H164" s="7" t="s">
        <v>139</v>
      </c>
      <c r="I164" s="7" t="str">
        <f>PROPER(Tabela1[[#This Row],[regiao]])</f>
        <v>Essos</v>
      </c>
      <c r="J164" s="8">
        <v>14500</v>
      </c>
      <c r="K164" s="9">
        <v>39500</v>
      </c>
      <c r="L164" s="2" t="s">
        <v>86</v>
      </c>
      <c r="M164" s="2">
        <v>18</v>
      </c>
      <c r="N164" s="2" t="str" cm="1">
        <f t="array" ref="N164">_xlfn.IFS(Tabela1[[#This Row],[qtde_]]="N/A", "N/A",Tabela1[[#This Row],[qtde_]]&lt;11,"BAIXO",Tabela1[[#This Row],[qtde_]]&lt;26,"MÉDIO",Tabela1[[#This Row],[qtde_]]&gt;=26,"ALTO")</f>
        <v>MÉDIO</v>
      </c>
      <c r="O164" s="12" t="str">
        <f>IF(AND(Tabela1[[#This Row],[nivel_risco]]="ALTO",Tabela1[[#This Row],[flag_inadimplente]] = "Sim"),"negada","aprovada")</f>
        <v>aprovada</v>
      </c>
      <c r="P164" s="12" t="str">
        <f>IF(AND(Tabela1[[#This Row],[credito_tomado]]&gt;50000,Tabela1[[#This Row],[flag_inadimplente]]="Sim"),"negada","aprovada")</f>
        <v>aprovada</v>
      </c>
      <c r="Q164" s="6">
        <v>32000</v>
      </c>
      <c r="R164" s="12" cm="1">
        <f t="array" ref="R16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2560</v>
      </c>
    </row>
    <row r="165" spans="1:18" ht="15.75" customHeight="1" x14ac:dyDescent="0.2">
      <c r="A165" s="2" t="s">
        <v>80</v>
      </c>
      <c r="B165" s="7" t="s">
        <v>410</v>
      </c>
      <c r="C165" s="1" t="s">
        <v>411</v>
      </c>
      <c r="D165" s="1" t="str">
        <f>TEXT(C165,"000\.000\.000\-00")</f>
        <v>000.000.286-00</v>
      </c>
      <c r="E165" s="2">
        <v>43</v>
      </c>
      <c r="F165" s="3">
        <v>30437</v>
      </c>
      <c r="G165" s="2" t="s">
        <v>89</v>
      </c>
      <c r="H165" s="7" t="s">
        <v>90</v>
      </c>
      <c r="I165" s="7" t="str">
        <f>PROPER(Tabela1[[#This Row],[regiao]])</f>
        <v>Terras Da Coroa</v>
      </c>
      <c r="J165" s="8">
        <v>14600</v>
      </c>
      <c r="K165" s="9">
        <v>18500</v>
      </c>
      <c r="L165" s="2" t="s">
        <v>101</v>
      </c>
      <c r="M165" s="2">
        <v>22</v>
      </c>
      <c r="N165" s="2" t="str" cm="1">
        <f t="array" ref="N165">_xlfn.IFS(Tabela1[[#This Row],[qtde_]]="N/A", "N/A",Tabela1[[#This Row],[qtde_]]&lt;11,"BAIXO",Tabela1[[#This Row],[qtde_]]&lt;26,"MÉDIO",Tabela1[[#This Row],[qtde_]]&gt;=26,"ALTO")</f>
        <v>MÉDIO</v>
      </c>
      <c r="O165" s="12" t="str">
        <f>IF(AND(Tabela1[[#This Row],[nivel_risco]]="ALTO",Tabela1[[#This Row],[flag_inadimplente]] = "Sim"),"negada","aprovada")</f>
        <v>aprovada</v>
      </c>
      <c r="P165" s="12" t="str">
        <f>IF(AND(Tabela1[[#This Row],[credito_tomado]]&gt;50000,Tabela1[[#This Row],[flag_inadimplente]]="Sim"),"negada","aprovada")</f>
        <v>aprovada</v>
      </c>
      <c r="Q165" s="6">
        <v>16500</v>
      </c>
      <c r="R165" s="12" cm="1">
        <f t="array" ref="R16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1320</v>
      </c>
    </row>
    <row r="166" spans="1:18" ht="15.75" customHeight="1" x14ac:dyDescent="0.2">
      <c r="A166" s="2" t="s">
        <v>83</v>
      </c>
      <c r="B166" s="7" t="s">
        <v>412</v>
      </c>
      <c r="C166" s="1" t="s">
        <v>413</v>
      </c>
      <c r="D166" s="1" t="str">
        <f>TEXT(C166,"000\.000\.000\-00")</f>
        <v>000.000.02.1-00</v>
      </c>
      <c r="E166" s="2">
        <v>63</v>
      </c>
      <c r="F166" s="3">
        <v>22974</v>
      </c>
      <c r="G166" s="2" t="s">
        <v>115</v>
      </c>
      <c r="H166" s="7" t="s">
        <v>414</v>
      </c>
      <c r="I166" s="7" t="str">
        <f>PROPER(Tabela1[[#This Row],[regiao]])</f>
        <v>Dorne</v>
      </c>
      <c r="J166" s="8">
        <v>14700</v>
      </c>
      <c r="K166" s="9">
        <v>0</v>
      </c>
      <c r="L166" s="2" t="s">
        <v>101</v>
      </c>
      <c r="M166" s="2">
        <v>40</v>
      </c>
      <c r="N166" s="2" t="str" cm="1">
        <f t="array" ref="N166">_xlfn.IFS(Tabela1[[#This Row],[qtde_]]="N/A", "N/A",Tabela1[[#This Row],[qtde_]]&lt;11,"BAIXO",Tabela1[[#This Row],[qtde_]]&lt;26,"MÉDIO",Tabela1[[#This Row],[qtde_]]&gt;=26,"ALTO")</f>
        <v>ALTO</v>
      </c>
      <c r="O166" s="12" t="str">
        <f>IF(AND(Tabela1[[#This Row],[nivel_risco]]="ALTO",Tabela1[[#This Row],[flag_inadimplente]] = "Sim"),"negada","aprovada")</f>
        <v>negada</v>
      </c>
      <c r="P166" s="12" t="str">
        <f>IF(AND(Tabela1[[#This Row],[credito_tomado]]&gt;50000,Tabela1[[#This Row],[flag_inadimplente]]="Sim"),"negada","aprovada")</f>
        <v>aprovada</v>
      </c>
      <c r="Q166" s="6">
        <v>83500</v>
      </c>
      <c r="R166" s="12" t="e" cm="1">
        <f t="array" ref="R16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67" spans="1:18" ht="15.75" customHeight="1" x14ac:dyDescent="0.2">
      <c r="A167" s="2" t="s">
        <v>80</v>
      </c>
      <c r="B167" s="7" t="s">
        <v>415</v>
      </c>
      <c r="C167" s="1" t="s">
        <v>416</v>
      </c>
      <c r="D167" s="1" t="str">
        <f>TEXT(C167,"000\.000\.000\-00")</f>
        <v>000.000.347-00</v>
      </c>
      <c r="E167" s="2">
        <v>19</v>
      </c>
      <c r="F167" s="3">
        <v>39016</v>
      </c>
      <c r="G167" s="2" t="s">
        <v>94</v>
      </c>
      <c r="H167" s="7" t="s">
        <v>95</v>
      </c>
      <c r="I167" s="7" t="str">
        <f>PROPER(Tabela1[[#This Row],[regiao]])</f>
        <v>Ilhas De Ferro</v>
      </c>
      <c r="J167" s="8">
        <v>14900</v>
      </c>
      <c r="K167" s="9">
        <v>17000</v>
      </c>
      <c r="L167" s="2" t="s">
        <v>86</v>
      </c>
      <c r="M167" s="2">
        <v>20</v>
      </c>
      <c r="N167" s="2" t="str" cm="1">
        <f t="array" ref="N167">_xlfn.IFS(Tabela1[[#This Row],[qtde_]]="N/A", "N/A",Tabela1[[#This Row],[qtde_]]&lt;11,"BAIXO",Tabela1[[#This Row],[qtde_]]&lt;26,"MÉDIO",Tabela1[[#This Row],[qtde_]]&gt;=26,"ALTO")</f>
        <v>MÉDIO</v>
      </c>
      <c r="O167" s="12" t="str">
        <f>IF(AND(Tabela1[[#This Row],[nivel_risco]]="ALTO",Tabela1[[#This Row],[flag_inadimplente]] = "Sim"),"negada","aprovada")</f>
        <v>aprovada</v>
      </c>
      <c r="P167" s="12" t="str">
        <f>IF(AND(Tabela1[[#This Row],[credito_tomado]]&gt;50000,Tabela1[[#This Row],[flag_inadimplente]]="Sim"),"negada","aprovada")</f>
        <v>aprovada</v>
      </c>
      <c r="Q167" s="6">
        <v>29500</v>
      </c>
      <c r="R167" s="12" cm="1">
        <f t="array" ref="R16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2360</v>
      </c>
    </row>
    <row r="168" spans="1:18" ht="15.75" customHeight="1" x14ac:dyDescent="0.2">
      <c r="A168" s="2" t="s">
        <v>96</v>
      </c>
      <c r="B168" s="7" t="s">
        <v>417</v>
      </c>
      <c r="C168" s="1" t="s">
        <v>418</v>
      </c>
      <c r="D168" s="1" t="str">
        <f>TEXT(C168,"000\.000\.000\-00")</f>
        <v>000.000.014-00</v>
      </c>
      <c r="E168" s="2">
        <v>46</v>
      </c>
      <c r="F168" s="3">
        <v>29113</v>
      </c>
      <c r="G168" s="2" t="s">
        <v>99</v>
      </c>
      <c r="H168" s="7" t="s">
        <v>113</v>
      </c>
      <c r="I168" s="7" t="str">
        <f>PROPER(Tabela1[[#This Row],[regiao]])</f>
        <v>Norte</v>
      </c>
      <c r="J168" s="8">
        <v>15000</v>
      </c>
      <c r="K168" s="9">
        <v>32500</v>
      </c>
      <c r="L168" s="2" t="s">
        <v>86</v>
      </c>
      <c r="M168" s="2">
        <v>40</v>
      </c>
      <c r="N168" s="2" t="str" cm="1">
        <f t="array" ref="N168">_xlfn.IFS(Tabela1[[#This Row],[qtde_]]="N/A", "N/A",Tabela1[[#This Row],[qtde_]]&lt;11,"BAIXO",Tabela1[[#This Row],[qtde_]]&lt;26,"MÉDIO",Tabela1[[#This Row],[qtde_]]&gt;=26,"ALTO")</f>
        <v>ALTO</v>
      </c>
      <c r="O168" s="12" t="str">
        <f>IF(AND(Tabela1[[#This Row],[nivel_risco]]="ALTO",Tabela1[[#This Row],[flag_inadimplente]] = "Sim"),"negada","aprovada")</f>
        <v>aprovada</v>
      </c>
      <c r="P168" s="12" t="str">
        <f>IF(AND(Tabela1[[#This Row],[credito_tomado]]&gt;50000,Tabela1[[#This Row],[flag_inadimplente]]="Sim"),"negada","aprovada")</f>
        <v>aprovada</v>
      </c>
      <c r="Q168" s="6">
        <v>4500</v>
      </c>
      <c r="R168" s="12" t="e" cm="1">
        <f t="array" ref="R16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69" spans="1:18" ht="15.75" customHeight="1" x14ac:dyDescent="0.2">
      <c r="A169" s="2" t="s">
        <v>96</v>
      </c>
      <c r="B169" s="7" t="s">
        <v>417</v>
      </c>
      <c r="C169" s="1" t="s">
        <v>418</v>
      </c>
      <c r="D169" s="1" t="str">
        <f>TEXT(C169,"000\.000\.000\-00")</f>
        <v>000.000.014-00</v>
      </c>
      <c r="E169" s="2">
        <v>46</v>
      </c>
      <c r="F169" s="3">
        <v>29113</v>
      </c>
      <c r="G169" s="2" t="s">
        <v>99</v>
      </c>
      <c r="H169" s="7" t="s">
        <v>113</v>
      </c>
      <c r="I169" s="7" t="str">
        <f>PROPER(Tabela1[[#This Row],[regiao]])</f>
        <v>Norte</v>
      </c>
      <c r="J169" s="8">
        <v>15000</v>
      </c>
      <c r="K169" s="9">
        <v>0</v>
      </c>
      <c r="L169" s="2" t="s">
        <v>86</v>
      </c>
      <c r="M169" s="2">
        <v>40</v>
      </c>
      <c r="N169" s="2" t="str" cm="1">
        <f t="array" ref="N169">_xlfn.IFS(Tabela1[[#This Row],[qtde_]]="N/A", "N/A",Tabela1[[#This Row],[qtde_]]&lt;11,"BAIXO",Tabela1[[#This Row],[qtde_]]&lt;26,"MÉDIO",Tabela1[[#This Row],[qtde_]]&gt;=26,"ALTO")</f>
        <v>ALTO</v>
      </c>
      <c r="O169" s="12" t="str">
        <f>IF(AND(Tabela1[[#This Row],[nivel_risco]]="ALTO",Tabela1[[#This Row],[flag_inadimplente]] = "Sim"),"negada","aprovada")</f>
        <v>aprovada</v>
      </c>
      <c r="P169" s="12" t="str">
        <f>IF(AND(Tabela1[[#This Row],[credito_tomado]]&gt;50000,Tabela1[[#This Row],[flag_inadimplente]]="Sim"),"negada","aprovada")</f>
        <v>aprovada</v>
      </c>
      <c r="Q169" s="6">
        <v>90500</v>
      </c>
      <c r="R169" s="12" t="e" cm="1">
        <f t="array" ref="R16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70" spans="1:18" ht="15.75" customHeight="1" x14ac:dyDescent="0.2">
      <c r="A170" s="2" t="s">
        <v>80</v>
      </c>
      <c r="B170" s="7" t="s">
        <v>207</v>
      </c>
      <c r="C170" s="1" t="s">
        <v>419</v>
      </c>
      <c r="D170" s="1" t="str">
        <f>TEXT(C170,"000\.000\.000\-00")</f>
        <v>000.000.008-00</v>
      </c>
      <c r="E170" s="2">
        <v>71</v>
      </c>
      <c r="F170" s="3">
        <v>20000</v>
      </c>
      <c r="G170" s="2" t="s">
        <v>108</v>
      </c>
      <c r="H170" s="7" t="s">
        <v>130</v>
      </c>
      <c r="I170" s="7" t="str">
        <f>PROPER(Tabela1[[#This Row],[regiao]])</f>
        <v>Gargalo</v>
      </c>
      <c r="J170" s="8">
        <v>15100</v>
      </c>
      <c r="K170" s="9">
        <v>0</v>
      </c>
      <c r="L170" s="2" t="s">
        <v>86</v>
      </c>
      <c r="M170" s="2">
        <v>42</v>
      </c>
      <c r="N170" s="2" t="str" cm="1">
        <f t="array" ref="N170">_xlfn.IFS(Tabela1[[#This Row],[qtde_]]="N/A", "N/A",Tabela1[[#This Row],[qtde_]]&lt;11,"BAIXO",Tabela1[[#This Row],[qtde_]]&lt;26,"MÉDIO",Tabela1[[#This Row],[qtde_]]&gt;=26,"ALTO")</f>
        <v>ALTO</v>
      </c>
      <c r="O170" s="12" t="str">
        <f>IF(AND(Tabela1[[#This Row],[nivel_risco]]="ALTO",Tabela1[[#This Row],[flag_inadimplente]] = "Sim"),"negada","aprovada")</f>
        <v>aprovada</v>
      </c>
      <c r="P170" s="12" t="str">
        <f>IF(AND(Tabela1[[#This Row],[credito_tomado]]&gt;50000,Tabela1[[#This Row],[flag_inadimplente]]="Sim"),"negada","aprovada")</f>
        <v>aprovada</v>
      </c>
      <c r="Q170" s="6">
        <v>77000</v>
      </c>
      <c r="R170" s="12" cm="1">
        <f t="array" ref="R17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6160</v>
      </c>
    </row>
    <row r="171" spans="1:18" ht="15.75" customHeight="1" x14ac:dyDescent="0.2">
      <c r="A171" s="2" t="s">
        <v>96</v>
      </c>
      <c r="B171" s="7" t="s">
        <v>420</v>
      </c>
      <c r="C171" s="1" t="s">
        <v>421</v>
      </c>
      <c r="D171" s="1" t="str">
        <f>TEXT(C171,"000\.000\.000\-00")</f>
        <v>000.000.129-00</v>
      </c>
      <c r="E171" s="2">
        <v>59</v>
      </c>
      <c r="F171" s="3">
        <v>24554</v>
      </c>
      <c r="G171" s="2" t="s">
        <v>138</v>
      </c>
      <c r="H171" s="7" t="s">
        <v>139</v>
      </c>
      <c r="I171" s="7" t="str">
        <f>PROPER(Tabela1[[#This Row],[regiao]])</f>
        <v>Essos</v>
      </c>
      <c r="J171" s="8">
        <v>15200</v>
      </c>
      <c r="K171" s="9">
        <v>11000</v>
      </c>
      <c r="L171" s="2" t="s">
        <v>86</v>
      </c>
      <c r="M171" s="2">
        <v>27</v>
      </c>
      <c r="N171" s="2" t="str" cm="1">
        <f t="array" ref="N171">_xlfn.IFS(Tabela1[[#This Row],[qtde_]]="N/A", "N/A",Tabela1[[#This Row],[qtde_]]&lt;11,"BAIXO",Tabela1[[#This Row],[qtde_]]&lt;26,"MÉDIO",Tabela1[[#This Row],[qtde_]]&gt;=26,"ALTO")</f>
        <v>ALTO</v>
      </c>
      <c r="O171" s="12" t="str">
        <f>IF(AND(Tabela1[[#This Row],[nivel_risco]]="ALTO",Tabela1[[#This Row],[flag_inadimplente]] = "Sim"),"negada","aprovada")</f>
        <v>aprovada</v>
      </c>
      <c r="P171" s="12" t="str">
        <f>IF(AND(Tabela1[[#This Row],[credito_tomado]]&gt;50000,Tabela1[[#This Row],[flag_inadimplente]]="Sim"),"negada","aprovada")</f>
        <v>aprovada</v>
      </c>
      <c r="Q171" s="6">
        <v>87000</v>
      </c>
      <c r="R171" s="12" t="e" cm="1">
        <f t="array" ref="R17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72" spans="1:18" ht="15.75" customHeight="1" x14ac:dyDescent="0.2">
      <c r="A172" s="2" t="s">
        <v>96</v>
      </c>
      <c r="B172" s="7" t="s">
        <v>422</v>
      </c>
      <c r="C172" s="1" t="s">
        <v>423</v>
      </c>
      <c r="D172" s="1" t="str">
        <f>TEXT(C172,"000\.000\.000\-00")</f>
        <v>000.000.100-00</v>
      </c>
      <c r="E172" s="2">
        <v>67</v>
      </c>
      <c r="F172" s="3">
        <v>21674</v>
      </c>
      <c r="G172" s="2" t="s">
        <v>108</v>
      </c>
      <c r="H172" s="7" t="s">
        <v>109</v>
      </c>
      <c r="I172" s="7" t="str">
        <f>PROPER(Tabela1[[#This Row],[regiao]])</f>
        <v>Gargalo</v>
      </c>
      <c r="J172" s="8">
        <v>15200</v>
      </c>
      <c r="K172" s="9">
        <v>67500</v>
      </c>
      <c r="L172" s="2" t="s">
        <v>86</v>
      </c>
      <c r="M172" s="2">
        <v>12</v>
      </c>
      <c r="N172" s="2" t="str" cm="1">
        <f t="array" ref="N172">_xlfn.IFS(Tabela1[[#This Row],[qtde_]]="N/A", "N/A",Tabela1[[#This Row],[qtde_]]&lt;11,"BAIXO",Tabela1[[#This Row],[qtde_]]&lt;26,"MÉDIO",Tabela1[[#This Row],[qtde_]]&gt;=26,"ALTO")</f>
        <v>MÉDIO</v>
      </c>
      <c r="O172" s="12" t="str">
        <f>IF(AND(Tabela1[[#This Row],[nivel_risco]]="ALTO",Tabela1[[#This Row],[flag_inadimplente]] = "Sim"),"negada","aprovada")</f>
        <v>aprovada</v>
      </c>
      <c r="P172" s="12" t="str">
        <f>IF(AND(Tabela1[[#This Row],[credito_tomado]]&gt;50000,Tabela1[[#This Row],[flag_inadimplente]]="Sim"),"negada","aprovada")</f>
        <v>aprovada</v>
      </c>
      <c r="Q172" s="6">
        <v>97500</v>
      </c>
      <c r="R172" s="12" t="e" cm="1">
        <f t="array" ref="R17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73" spans="1:18" ht="15.75" customHeight="1" x14ac:dyDescent="0.2">
      <c r="A173" s="2" t="s">
        <v>96</v>
      </c>
      <c r="B173" s="7" t="s">
        <v>424</v>
      </c>
      <c r="C173" s="1" t="s">
        <v>425</v>
      </c>
      <c r="D173" s="1" t="str">
        <f>TEXT(C173,"000\.000\.000\-00")</f>
        <v>000.000.221-00</v>
      </c>
      <c r="E173" s="2">
        <v>29</v>
      </c>
      <c r="F173" s="3">
        <v>35598</v>
      </c>
      <c r="G173" s="2" t="s">
        <v>115</v>
      </c>
      <c r="H173" s="7" t="s">
        <v>115</v>
      </c>
      <c r="I173" s="7" t="str">
        <f>PROPER(Tabela1[[#This Row],[regiao]])</f>
        <v>Dorne</v>
      </c>
      <c r="J173" s="8">
        <v>15500</v>
      </c>
      <c r="K173" s="9">
        <v>75000</v>
      </c>
      <c r="L173" s="2" t="s">
        <v>86</v>
      </c>
      <c r="M173" s="2">
        <v>25</v>
      </c>
      <c r="N173" s="2" t="str" cm="1">
        <f t="array" ref="N173">_xlfn.IFS(Tabela1[[#This Row],[qtde_]]="N/A", "N/A",Tabela1[[#This Row],[qtde_]]&lt;11,"BAIXO",Tabela1[[#This Row],[qtde_]]&lt;26,"MÉDIO",Tabela1[[#This Row],[qtde_]]&gt;=26,"ALTO")</f>
        <v>MÉDIO</v>
      </c>
      <c r="O173" s="12" t="str">
        <f>IF(AND(Tabela1[[#This Row],[nivel_risco]]="ALTO",Tabela1[[#This Row],[flag_inadimplente]] = "Sim"),"negada","aprovada")</f>
        <v>aprovada</v>
      </c>
      <c r="P173" s="12" t="str">
        <f>IF(AND(Tabela1[[#This Row],[credito_tomado]]&gt;50000,Tabela1[[#This Row],[flag_inadimplente]]="Sim"),"negada","aprovada")</f>
        <v>aprovada</v>
      </c>
      <c r="Q173" s="6">
        <v>47000</v>
      </c>
      <c r="R173" s="12" t="e" cm="1">
        <f t="array" ref="R17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74" spans="1:18" ht="15.75" customHeight="1" x14ac:dyDescent="0.2">
      <c r="A174" s="2" t="s">
        <v>80</v>
      </c>
      <c r="B174" s="7" t="s">
        <v>365</v>
      </c>
      <c r="C174" s="1" t="s">
        <v>426</v>
      </c>
      <c r="D174" s="1" t="str">
        <f>TEXT(C174,"000\.000\.000\-00")</f>
        <v>000.000.339-00</v>
      </c>
      <c r="E174" s="2">
        <v>53</v>
      </c>
      <c r="F174" s="3">
        <v>26558</v>
      </c>
      <c r="G174" s="2" t="s">
        <v>215</v>
      </c>
      <c r="H174" s="7" t="s">
        <v>151</v>
      </c>
      <c r="I174" s="7" t="str">
        <f>PROPER(Tabela1[[#This Row],[regiao]])</f>
        <v>Terras Da Coroa</v>
      </c>
      <c r="J174" s="8">
        <v>15500</v>
      </c>
      <c r="K174" s="9" t="s">
        <v>83</v>
      </c>
      <c r="L174" s="2" t="s">
        <v>86</v>
      </c>
      <c r="M174" s="2">
        <v>16</v>
      </c>
      <c r="N174" s="2" t="str" cm="1">
        <f t="array" ref="N174">_xlfn.IFS(Tabela1[[#This Row],[qtde_]]="N/A", "N/A",Tabela1[[#This Row],[qtde_]]&lt;11,"BAIXO",Tabela1[[#This Row],[qtde_]]&lt;26,"MÉDIO",Tabela1[[#This Row],[qtde_]]&gt;=26,"ALTO")</f>
        <v>MÉDIO</v>
      </c>
      <c r="O174" s="12" t="str">
        <f>IF(AND(Tabela1[[#This Row],[nivel_risco]]="ALTO",Tabela1[[#This Row],[flag_inadimplente]] = "Sim"),"negada","aprovada")</f>
        <v>aprovada</v>
      </c>
      <c r="P174" s="12" t="str">
        <f>IF(AND(Tabela1[[#This Row],[credito_tomado]]&gt;50000,Tabela1[[#This Row],[flag_inadimplente]]="Sim"),"negada","aprovada")</f>
        <v>aprovada</v>
      </c>
      <c r="Q174" s="6">
        <v>41000</v>
      </c>
      <c r="R174" s="12" t="str" cm="1">
        <f t="array" ref="R17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175" spans="1:18" ht="15.75" customHeight="1" x14ac:dyDescent="0.2">
      <c r="A175" s="2" t="s">
        <v>80</v>
      </c>
      <c r="B175" s="7" t="s">
        <v>427</v>
      </c>
      <c r="C175" s="1" t="s">
        <v>428</v>
      </c>
      <c r="D175" s="1" t="str">
        <f>TEXT(C175,"000\.000\.000\-00")</f>
        <v>000.000.336-00</v>
      </c>
      <c r="E175" s="2">
        <v>32</v>
      </c>
      <c r="F175" s="3">
        <v>34347</v>
      </c>
      <c r="G175" s="2" t="s">
        <v>144</v>
      </c>
      <c r="H175" s="7" t="s">
        <v>145</v>
      </c>
      <c r="I175" s="7" t="str">
        <f>PROPER(Tabela1[[#This Row],[regiao]])</f>
        <v>Vale</v>
      </c>
      <c r="J175" s="8">
        <v>15600</v>
      </c>
      <c r="K175" s="9">
        <v>0</v>
      </c>
      <c r="L175" s="2" t="s">
        <v>101</v>
      </c>
      <c r="M175" s="2">
        <v>34</v>
      </c>
      <c r="N175" s="2" t="str" cm="1">
        <f t="array" ref="N175">_xlfn.IFS(Tabela1[[#This Row],[qtde_]]="N/A", "N/A",Tabela1[[#This Row],[qtde_]]&lt;11,"BAIXO",Tabela1[[#This Row],[qtde_]]&lt;26,"MÉDIO",Tabela1[[#This Row],[qtde_]]&gt;=26,"ALTO")</f>
        <v>ALTO</v>
      </c>
      <c r="O175" s="12" t="str">
        <f>IF(AND(Tabela1[[#This Row],[nivel_risco]]="ALTO",Tabela1[[#This Row],[flag_inadimplente]] = "Sim"),"negada","aprovada")</f>
        <v>negada</v>
      </c>
      <c r="P175" s="12" t="str">
        <f>IF(AND(Tabela1[[#This Row],[credito_tomado]]&gt;50000,Tabela1[[#This Row],[flag_inadimplente]]="Sim"),"negada","aprovada")</f>
        <v>aprovada</v>
      </c>
      <c r="Q175" s="6">
        <v>16000</v>
      </c>
      <c r="R175" s="12" t="e" cm="1">
        <f t="array" ref="R17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76" spans="1:18" ht="15.75" customHeight="1" x14ac:dyDescent="0.2">
      <c r="A176" s="2" t="s">
        <v>80</v>
      </c>
      <c r="B176" s="7" t="s">
        <v>429</v>
      </c>
      <c r="C176" s="1">
        <v>14200</v>
      </c>
      <c r="D176" s="1" t="str">
        <f>TEXT(C176,"000\.000\.000\-00")</f>
        <v>000.000.142-00</v>
      </c>
      <c r="E176" s="2">
        <v>48</v>
      </c>
      <c r="F176" s="3">
        <v>28681</v>
      </c>
      <c r="G176" s="2" t="s">
        <v>430</v>
      </c>
      <c r="H176" s="7" t="s">
        <v>115</v>
      </c>
      <c r="I176" s="7" t="str">
        <f>PROPER(Tabela1[[#This Row],[regiao]])</f>
        <v>Dorne</v>
      </c>
      <c r="J176" s="8">
        <v>15800</v>
      </c>
      <c r="K176" s="9">
        <v>0</v>
      </c>
      <c r="L176" s="2" t="s">
        <v>86</v>
      </c>
      <c r="M176" s="2">
        <v>12</v>
      </c>
      <c r="N176" s="2" t="str" cm="1">
        <f t="array" ref="N176">_xlfn.IFS(Tabela1[[#This Row],[qtde_]]="N/A", "N/A",Tabela1[[#This Row],[qtde_]]&lt;11,"BAIXO",Tabela1[[#This Row],[qtde_]]&lt;26,"MÉDIO",Tabela1[[#This Row],[qtde_]]&gt;=26,"ALTO")</f>
        <v>MÉDIO</v>
      </c>
      <c r="O176" s="12" t="str">
        <f>IF(AND(Tabela1[[#This Row],[nivel_risco]]="ALTO",Tabela1[[#This Row],[flag_inadimplente]] = "Sim"),"negada","aprovada")</f>
        <v>aprovada</v>
      </c>
      <c r="P176" s="12" t="str">
        <f>IF(AND(Tabela1[[#This Row],[credito_tomado]]&gt;50000,Tabela1[[#This Row],[flag_inadimplente]]="Sim"),"negada","aprovada")</f>
        <v>aprovada</v>
      </c>
      <c r="Q176" s="6">
        <v>69500</v>
      </c>
      <c r="R176" s="12" cm="1">
        <f t="array" ref="R17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5560</v>
      </c>
    </row>
    <row r="177" spans="1:18" ht="15.75" customHeight="1" x14ac:dyDescent="0.2">
      <c r="A177" s="2" t="s">
        <v>96</v>
      </c>
      <c r="B177" s="7" t="s">
        <v>431</v>
      </c>
      <c r="C177" s="1">
        <v>34000</v>
      </c>
      <c r="D177" s="1" t="str">
        <f>TEXT(C177,"000\.000\.000\-00")</f>
        <v>000.000.340-00</v>
      </c>
      <c r="E177" s="2">
        <v>38</v>
      </c>
      <c r="F177" s="3">
        <v>32118</v>
      </c>
      <c r="G177" s="2" t="s">
        <v>104</v>
      </c>
      <c r="H177" s="7" t="s">
        <v>128</v>
      </c>
      <c r="I177" s="7" t="str">
        <f>PROPER(Tabela1[[#This Row],[regiao]])</f>
        <v>Terras Da Tempestade</v>
      </c>
      <c r="J177" s="8">
        <v>15800</v>
      </c>
      <c r="K177" s="9">
        <v>14500</v>
      </c>
      <c r="L177" s="2" t="s">
        <v>86</v>
      </c>
      <c r="M177" s="2">
        <v>4</v>
      </c>
      <c r="N177" s="2" t="str" cm="1">
        <f t="array" ref="N177">_xlfn.IFS(Tabela1[[#This Row],[qtde_]]="N/A", "N/A",Tabela1[[#This Row],[qtde_]]&lt;11,"BAIXO",Tabela1[[#This Row],[qtde_]]&lt;26,"MÉDIO",Tabela1[[#This Row],[qtde_]]&gt;=26,"ALTO")</f>
        <v>BAIXO</v>
      </c>
      <c r="O177" s="12" t="str">
        <f>IF(AND(Tabela1[[#This Row],[nivel_risco]]="ALTO",Tabela1[[#This Row],[flag_inadimplente]] = "Sim"),"negada","aprovada")</f>
        <v>aprovada</v>
      </c>
      <c r="P177" s="12" t="str">
        <f>IF(AND(Tabela1[[#This Row],[credito_tomado]]&gt;50000,Tabela1[[#This Row],[flag_inadimplente]]="Sim"),"negada","aprovada")</f>
        <v>aprovada</v>
      </c>
      <c r="Q177" s="6">
        <v>21000</v>
      </c>
      <c r="R177" s="12" t="e" cm="1">
        <f t="array" ref="R17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78" spans="1:18" ht="15.75" customHeight="1" x14ac:dyDescent="0.2">
      <c r="A178" s="2" t="s">
        <v>96</v>
      </c>
      <c r="B178" s="7" t="s">
        <v>432</v>
      </c>
      <c r="C178" s="1" t="s">
        <v>433</v>
      </c>
      <c r="D178" s="1" t="str">
        <f>TEXT(C178,"000\.000\.000\-00")</f>
        <v>000.000.074-00</v>
      </c>
      <c r="E178" s="2">
        <v>69</v>
      </c>
      <c r="F178" s="3">
        <v>20785</v>
      </c>
      <c r="G178" s="2" t="s">
        <v>112</v>
      </c>
      <c r="H178" s="7" t="s">
        <v>100</v>
      </c>
      <c r="I178" s="7" t="str">
        <f>PROPER(Tabela1[[#This Row],[regiao]])</f>
        <v>Norte</v>
      </c>
      <c r="J178" s="8">
        <v>16000</v>
      </c>
      <c r="K178" s="9">
        <v>48000</v>
      </c>
      <c r="L178" s="2" t="s">
        <v>86</v>
      </c>
      <c r="M178" s="2">
        <v>29</v>
      </c>
      <c r="N178" s="2" t="str" cm="1">
        <f t="array" ref="N178">_xlfn.IFS(Tabela1[[#This Row],[qtde_]]="N/A", "N/A",Tabela1[[#This Row],[qtde_]]&lt;11,"BAIXO",Tabela1[[#This Row],[qtde_]]&lt;26,"MÉDIO",Tabela1[[#This Row],[qtde_]]&gt;=26,"ALTO")</f>
        <v>ALTO</v>
      </c>
      <c r="O178" s="12" t="str">
        <f>IF(AND(Tabela1[[#This Row],[nivel_risco]]="ALTO",Tabela1[[#This Row],[flag_inadimplente]] = "Sim"),"negada","aprovada")</f>
        <v>aprovada</v>
      </c>
      <c r="P178" s="12" t="str">
        <f>IF(AND(Tabela1[[#This Row],[credito_tomado]]&gt;50000,Tabela1[[#This Row],[flag_inadimplente]]="Sim"),"negada","aprovada")</f>
        <v>aprovada</v>
      </c>
      <c r="Q178" s="6">
        <v>74500</v>
      </c>
      <c r="R178" s="12" t="e" cm="1">
        <f t="array" ref="R17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79" spans="1:18" ht="15.75" customHeight="1" x14ac:dyDescent="0.2">
      <c r="A179" s="2" t="s">
        <v>80</v>
      </c>
      <c r="B179" s="7" t="s">
        <v>434</v>
      </c>
      <c r="C179" s="1" t="s">
        <v>435</v>
      </c>
      <c r="D179" s="1" t="str">
        <f>TEXT(C179,"000\.000\.000\-00")</f>
        <v>000.000.085-00</v>
      </c>
      <c r="E179" s="2">
        <v>50</v>
      </c>
      <c r="F179" s="3">
        <v>27886</v>
      </c>
      <c r="G179" s="2" t="s">
        <v>115</v>
      </c>
      <c r="H179" s="7" t="s">
        <v>115</v>
      </c>
      <c r="I179" s="7" t="str">
        <f>PROPER(Tabela1[[#This Row],[regiao]])</f>
        <v>Dorne</v>
      </c>
      <c r="J179" s="8">
        <v>16100</v>
      </c>
      <c r="K179" s="9">
        <v>8000</v>
      </c>
      <c r="L179" s="2" t="s">
        <v>101</v>
      </c>
      <c r="M179" s="2">
        <v>30</v>
      </c>
      <c r="N179" s="2" t="str" cm="1">
        <f t="array" ref="N179">_xlfn.IFS(Tabela1[[#This Row],[qtde_]]="N/A", "N/A",Tabela1[[#This Row],[qtde_]]&lt;11,"BAIXO",Tabela1[[#This Row],[qtde_]]&lt;26,"MÉDIO",Tabela1[[#This Row],[qtde_]]&gt;=26,"ALTO")</f>
        <v>ALTO</v>
      </c>
      <c r="O179" s="12" t="str">
        <f>IF(AND(Tabela1[[#This Row],[nivel_risco]]="ALTO",Tabela1[[#This Row],[flag_inadimplente]] = "Sim"),"negada","aprovada")</f>
        <v>negada</v>
      </c>
      <c r="P179" s="12" t="str">
        <f>IF(AND(Tabela1[[#This Row],[credito_tomado]]&gt;50000,Tabela1[[#This Row],[flag_inadimplente]]="Sim"),"negada","aprovada")</f>
        <v>aprovada</v>
      </c>
      <c r="Q179" s="6">
        <v>27000</v>
      </c>
      <c r="R179" s="12" t="e" cm="1">
        <f t="array" ref="R17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80" spans="1:18" ht="15.75" customHeight="1" x14ac:dyDescent="0.2">
      <c r="A180" s="2" t="s">
        <v>96</v>
      </c>
      <c r="B180" s="7" t="s">
        <v>436</v>
      </c>
      <c r="C180" s="1">
        <v>19200</v>
      </c>
      <c r="D180" s="1" t="str">
        <f>TEXT(C180,"000\.000\.000\-00")</f>
        <v>000.000.192-00</v>
      </c>
      <c r="E180" s="2">
        <v>50</v>
      </c>
      <c r="F180" s="3">
        <v>27833</v>
      </c>
      <c r="G180" s="2" t="s">
        <v>437</v>
      </c>
      <c r="H180" s="7" t="s">
        <v>141</v>
      </c>
      <c r="I180" s="7" t="str">
        <f>PROPER(Tabela1[[#This Row],[regiao]])</f>
        <v>Terras Fluviais</v>
      </c>
      <c r="J180" s="8">
        <v>16200</v>
      </c>
      <c r="K180" s="9">
        <v>25000</v>
      </c>
      <c r="L180" s="2" t="s">
        <v>86</v>
      </c>
      <c r="M180" s="2">
        <v>26</v>
      </c>
      <c r="N180" s="2" t="str" cm="1">
        <f t="array" ref="N180">_xlfn.IFS(Tabela1[[#This Row],[qtde_]]="N/A", "N/A",Tabela1[[#This Row],[qtde_]]&lt;11,"BAIXO",Tabela1[[#This Row],[qtde_]]&lt;26,"MÉDIO",Tabela1[[#This Row],[qtde_]]&gt;=26,"ALTO")</f>
        <v>ALTO</v>
      </c>
      <c r="O180" s="12" t="str">
        <f>IF(AND(Tabela1[[#This Row],[nivel_risco]]="ALTO",Tabela1[[#This Row],[flag_inadimplente]] = "Sim"),"negada","aprovada")</f>
        <v>aprovada</v>
      </c>
      <c r="P180" s="12" t="str">
        <f>IF(AND(Tabela1[[#This Row],[credito_tomado]]&gt;50000,Tabela1[[#This Row],[flag_inadimplente]]="Sim"),"negada","aprovada")</f>
        <v>aprovada</v>
      </c>
      <c r="Q180" s="6">
        <v>65000</v>
      </c>
      <c r="R180" s="12" t="e" cm="1">
        <f t="array" ref="R18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81" spans="1:18" ht="15.75" customHeight="1" x14ac:dyDescent="0.2">
      <c r="A181" s="2" t="s">
        <v>80</v>
      </c>
      <c r="B181" s="7" t="s">
        <v>438</v>
      </c>
      <c r="C181" s="1" t="s">
        <v>439</v>
      </c>
      <c r="D181" s="1" t="str">
        <f>TEXT(C181,"000\.000\.000\-00")</f>
        <v>000.000.195-00</v>
      </c>
      <c r="E181" s="2">
        <v>70</v>
      </c>
      <c r="F181" s="3">
        <v>20570</v>
      </c>
      <c r="G181" s="2" t="s">
        <v>124</v>
      </c>
      <c r="H181" s="7" t="s">
        <v>139</v>
      </c>
      <c r="I181" s="7" t="str">
        <f>PROPER(Tabela1[[#This Row],[regiao]])</f>
        <v>Essos</v>
      </c>
      <c r="J181" s="8">
        <v>16300</v>
      </c>
      <c r="K181" s="9">
        <v>16500</v>
      </c>
      <c r="L181" s="2" t="s">
        <v>86</v>
      </c>
      <c r="M181" s="2">
        <v>25</v>
      </c>
      <c r="N181" s="2" t="str" cm="1">
        <f t="array" ref="N181">_xlfn.IFS(Tabela1[[#This Row],[qtde_]]="N/A", "N/A",Tabela1[[#This Row],[qtde_]]&lt;11,"BAIXO",Tabela1[[#This Row],[qtde_]]&lt;26,"MÉDIO",Tabela1[[#This Row],[qtde_]]&gt;=26,"ALTO")</f>
        <v>MÉDIO</v>
      </c>
      <c r="O181" s="12" t="str">
        <f>IF(AND(Tabela1[[#This Row],[nivel_risco]]="ALTO",Tabela1[[#This Row],[flag_inadimplente]] = "Sim"),"negada","aprovada")</f>
        <v>aprovada</v>
      </c>
      <c r="P181" s="12" t="str">
        <f>IF(AND(Tabela1[[#This Row],[credito_tomado]]&gt;50000,Tabela1[[#This Row],[flag_inadimplente]]="Sim"),"negada","aprovada")</f>
        <v>aprovada</v>
      </c>
      <c r="Q181" s="6">
        <v>65500</v>
      </c>
      <c r="R181" s="12" cm="1">
        <f t="array" ref="R18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5240</v>
      </c>
    </row>
    <row r="182" spans="1:18" ht="15.75" customHeight="1" x14ac:dyDescent="0.2">
      <c r="A182" s="2" t="s">
        <v>80</v>
      </c>
      <c r="B182" s="7" t="s">
        <v>440</v>
      </c>
      <c r="C182" s="1" t="s">
        <v>441</v>
      </c>
      <c r="D182" s="1" t="str">
        <f>TEXT(C182,"000\.000\.000\-00")</f>
        <v>000.000.251-00</v>
      </c>
      <c r="E182" s="2">
        <v>51</v>
      </c>
      <c r="F182" s="3">
        <v>27377</v>
      </c>
      <c r="G182" s="2" t="s">
        <v>94</v>
      </c>
      <c r="H182" s="7" t="s">
        <v>182</v>
      </c>
      <c r="I182" s="7" t="str">
        <f>PROPER(Tabela1[[#This Row],[regiao]])</f>
        <v>Ilhas De Ferro</v>
      </c>
      <c r="J182" s="8">
        <v>16300</v>
      </c>
      <c r="K182" s="9" t="s">
        <v>83</v>
      </c>
      <c r="L182" s="2" t="s">
        <v>86</v>
      </c>
      <c r="M182" s="2">
        <v>8</v>
      </c>
      <c r="N182" s="2" t="str" cm="1">
        <f t="array" ref="N182">_xlfn.IFS(Tabela1[[#This Row],[qtde_]]="N/A", "N/A",Tabela1[[#This Row],[qtde_]]&lt;11,"BAIXO",Tabela1[[#This Row],[qtde_]]&lt;26,"MÉDIO",Tabela1[[#This Row],[qtde_]]&gt;=26,"ALTO")</f>
        <v>BAIXO</v>
      </c>
      <c r="O182" s="12" t="str">
        <f>IF(AND(Tabela1[[#This Row],[nivel_risco]]="ALTO",Tabela1[[#This Row],[flag_inadimplente]] = "Sim"),"negada","aprovada")</f>
        <v>aprovada</v>
      </c>
      <c r="P182" s="12" t="str">
        <f>IF(AND(Tabela1[[#This Row],[credito_tomado]]&gt;50000,Tabela1[[#This Row],[flag_inadimplente]]="Sim"),"negada","aprovada")</f>
        <v>aprovada</v>
      </c>
      <c r="Q182" s="6">
        <v>33000</v>
      </c>
      <c r="R182" s="12" t="str" cm="1">
        <f t="array" ref="R18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183" spans="1:18" ht="15.75" customHeight="1" x14ac:dyDescent="0.2">
      <c r="A183" s="2" t="s">
        <v>96</v>
      </c>
      <c r="B183" s="7" t="s">
        <v>442</v>
      </c>
      <c r="C183" s="1" t="s">
        <v>443</v>
      </c>
      <c r="D183" s="1" t="str">
        <f>TEXT(C183,"000\.000\.000\-00")</f>
        <v>000.000.260-00</v>
      </c>
      <c r="E183" s="2">
        <v>31</v>
      </c>
      <c r="F183" s="3">
        <v>34885</v>
      </c>
      <c r="G183" s="2" t="s">
        <v>215</v>
      </c>
      <c r="H183" s="7" t="s">
        <v>90</v>
      </c>
      <c r="I183" s="7" t="str">
        <f>PROPER(Tabela1[[#This Row],[regiao]])</f>
        <v>Terras Da Coroa</v>
      </c>
      <c r="J183" s="8">
        <v>16400</v>
      </c>
      <c r="K183" s="9">
        <v>45500</v>
      </c>
      <c r="L183" s="2" t="s">
        <v>86</v>
      </c>
      <c r="M183" s="2">
        <v>6</v>
      </c>
      <c r="N183" s="2" t="str" cm="1">
        <f t="array" ref="N183">_xlfn.IFS(Tabela1[[#This Row],[qtde_]]="N/A", "N/A",Tabela1[[#This Row],[qtde_]]&lt;11,"BAIXO",Tabela1[[#This Row],[qtde_]]&lt;26,"MÉDIO",Tabela1[[#This Row],[qtde_]]&gt;=26,"ALTO")</f>
        <v>BAIXO</v>
      </c>
      <c r="O183" s="12" t="str">
        <f>IF(AND(Tabela1[[#This Row],[nivel_risco]]="ALTO",Tabela1[[#This Row],[flag_inadimplente]] = "Sim"),"negada","aprovada")</f>
        <v>aprovada</v>
      </c>
      <c r="P183" s="12" t="str">
        <f>IF(AND(Tabela1[[#This Row],[credito_tomado]]&gt;50000,Tabela1[[#This Row],[flag_inadimplente]]="Sim"),"negada","aprovada")</f>
        <v>aprovada</v>
      </c>
      <c r="Q183" s="6">
        <v>49500</v>
      </c>
      <c r="R183" s="12" t="e" cm="1">
        <f t="array" ref="R18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84" spans="1:18" ht="15.75" customHeight="1" x14ac:dyDescent="0.2">
      <c r="A184" s="2" t="s">
        <v>96</v>
      </c>
      <c r="B184" s="7" t="s">
        <v>444</v>
      </c>
      <c r="C184" s="1" t="s">
        <v>445</v>
      </c>
      <c r="D184" s="1" t="str">
        <f>TEXT(C184,"000\.000\.000\-00")</f>
        <v>000.000.231-00</v>
      </c>
      <c r="E184" s="2">
        <v>53</v>
      </c>
      <c r="F184" s="3">
        <v>26629</v>
      </c>
      <c r="G184" s="2" t="s">
        <v>156</v>
      </c>
      <c r="H184" s="7" t="s">
        <v>100</v>
      </c>
      <c r="I184" s="7" t="str">
        <f>PROPER(Tabela1[[#This Row],[regiao]])</f>
        <v>Norte</v>
      </c>
      <c r="J184" s="8">
        <v>16500</v>
      </c>
      <c r="K184" s="9">
        <v>4000</v>
      </c>
      <c r="L184" s="2" t="s">
        <v>86</v>
      </c>
      <c r="M184" s="2">
        <v>14</v>
      </c>
      <c r="N184" s="2" t="str" cm="1">
        <f t="array" ref="N184">_xlfn.IFS(Tabela1[[#This Row],[qtde_]]="N/A", "N/A",Tabela1[[#This Row],[qtde_]]&lt;11,"BAIXO",Tabela1[[#This Row],[qtde_]]&lt;26,"MÉDIO",Tabela1[[#This Row],[qtde_]]&gt;=26,"ALTO")</f>
        <v>MÉDIO</v>
      </c>
      <c r="O184" s="12" t="str">
        <f>IF(AND(Tabela1[[#This Row],[nivel_risco]]="ALTO",Tabela1[[#This Row],[flag_inadimplente]] = "Sim"),"negada","aprovada")</f>
        <v>aprovada</v>
      </c>
      <c r="P184" s="12" t="str">
        <f>IF(AND(Tabela1[[#This Row],[credito_tomado]]&gt;50000,Tabela1[[#This Row],[flag_inadimplente]]="Sim"),"negada","aprovada")</f>
        <v>aprovada</v>
      </c>
      <c r="Q184" s="6">
        <v>36000</v>
      </c>
      <c r="R184" s="12" t="e" cm="1">
        <f t="array" ref="R18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85" spans="1:18" ht="15.75" customHeight="1" x14ac:dyDescent="0.2">
      <c r="A185" s="2" t="s">
        <v>80</v>
      </c>
      <c r="B185" s="7" t="s">
        <v>446</v>
      </c>
      <c r="C185" s="1" t="s">
        <v>447</v>
      </c>
      <c r="D185" s="1" t="str">
        <f>TEXT(C185,"000\.000\.000\-00")</f>
        <v>000.000.222-00</v>
      </c>
      <c r="E185" s="2">
        <v>63</v>
      </c>
      <c r="F185" s="3">
        <v>23231</v>
      </c>
      <c r="G185" s="2" t="s">
        <v>267</v>
      </c>
      <c r="H185" s="7" t="s">
        <v>113</v>
      </c>
      <c r="I185" s="7" t="str">
        <f>PROPER(Tabela1[[#This Row],[regiao]])</f>
        <v>Norte</v>
      </c>
      <c r="J185" s="8">
        <v>16800</v>
      </c>
      <c r="K185" s="9">
        <v>0</v>
      </c>
      <c r="L185" s="2" t="s">
        <v>83</v>
      </c>
      <c r="M185" s="2">
        <v>32</v>
      </c>
      <c r="N185" s="2" t="str" cm="1">
        <f t="array" ref="N185">_xlfn.IFS(Tabela1[[#This Row],[qtde_]]="N/A", "N/A",Tabela1[[#This Row],[qtde_]]&lt;11,"BAIXO",Tabela1[[#This Row],[qtde_]]&lt;26,"MÉDIO",Tabela1[[#This Row],[qtde_]]&gt;=26,"ALTO")</f>
        <v>ALTO</v>
      </c>
      <c r="O185" s="12" t="str">
        <f>IF(AND(Tabela1[[#This Row],[nivel_risco]]="ALTO",Tabela1[[#This Row],[flag_inadimplente]] = "Sim"),"negada","aprovada")</f>
        <v>aprovada</v>
      </c>
      <c r="P185" s="12" t="str">
        <f>IF(AND(Tabela1[[#This Row],[credito_tomado]]&gt;50000,Tabela1[[#This Row],[flag_inadimplente]]="Sim"),"negada","aprovada")</f>
        <v>aprovada</v>
      </c>
      <c r="Q185" s="6">
        <v>61500</v>
      </c>
      <c r="R185" s="12" t="str" cm="1">
        <f t="array" ref="R18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186" spans="1:18" ht="15.75" customHeight="1" x14ac:dyDescent="0.2">
      <c r="A186" s="2" t="s">
        <v>96</v>
      </c>
      <c r="B186" s="7" t="s">
        <v>448</v>
      </c>
      <c r="C186" s="1" t="s">
        <v>449</v>
      </c>
      <c r="D186" s="1" t="str">
        <f>TEXT(C186,"000\.000\.000\-00")</f>
        <v>000.000.356-00</v>
      </c>
      <c r="E186" s="2">
        <v>66</v>
      </c>
      <c r="F186" s="3">
        <v>22101</v>
      </c>
      <c r="G186" s="2" t="s">
        <v>138</v>
      </c>
      <c r="H186" s="7" t="s">
        <v>125</v>
      </c>
      <c r="I186" s="7" t="str">
        <f>PROPER(Tabela1[[#This Row],[regiao]])</f>
        <v>Essos</v>
      </c>
      <c r="J186" s="8">
        <v>16800</v>
      </c>
      <c r="K186" s="9">
        <v>79500</v>
      </c>
      <c r="L186" s="2" t="s">
        <v>86</v>
      </c>
      <c r="M186" s="2">
        <v>36</v>
      </c>
      <c r="N186" s="2" t="str" cm="1">
        <f t="array" ref="N186">_xlfn.IFS(Tabela1[[#This Row],[qtde_]]="N/A", "N/A",Tabela1[[#This Row],[qtde_]]&lt;11,"BAIXO",Tabela1[[#This Row],[qtde_]]&lt;26,"MÉDIO",Tabela1[[#This Row],[qtde_]]&gt;=26,"ALTO")</f>
        <v>ALTO</v>
      </c>
      <c r="O186" s="12" t="str">
        <f>IF(AND(Tabela1[[#This Row],[nivel_risco]]="ALTO",Tabela1[[#This Row],[flag_inadimplente]] = "Sim"),"negada","aprovada")</f>
        <v>aprovada</v>
      </c>
      <c r="P186" s="12" t="str">
        <f>IF(AND(Tabela1[[#This Row],[credito_tomado]]&gt;50000,Tabela1[[#This Row],[flag_inadimplente]]="Sim"),"negada","aprovada")</f>
        <v>aprovada</v>
      </c>
      <c r="Q186" s="6">
        <v>1500</v>
      </c>
      <c r="R186" s="12" t="e" cm="1">
        <f t="array" ref="R18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87" spans="1:18" ht="15.75" customHeight="1" x14ac:dyDescent="0.2">
      <c r="A187" s="2" t="s">
        <v>80</v>
      </c>
      <c r="B187" s="7" t="s">
        <v>450</v>
      </c>
      <c r="C187" s="1">
        <v>2800</v>
      </c>
      <c r="D187" s="1" t="str">
        <f>TEXT(C187,"000\.000\.000\-00")</f>
        <v>000.000.028-00</v>
      </c>
      <c r="E187" s="2">
        <v>24</v>
      </c>
      <c r="F187" s="3">
        <v>37470</v>
      </c>
      <c r="G187" s="2" t="s">
        <v>197</v>
      </c>
      <c r="H187" s="7" t="s">
        <v>230</v>
      </c>
      <c r="I187" s="7" t="str">
        <f>PROPER(Tabela1[[#This Row],[regiao]])</f>
        <v>Terras Da Tempestade</v>
      </c>
      <c r="J187" s="8">
        <v>16900</v>
      </c>
      <c r="K187" s="9">
        <v>42500</v>
      </c>
      <c r="L187" s="2" t="s">
        <v>101</v>
      </c>
      <c r="M187" s="2">
        <v>26</v>
      </c>
      <c r="N187" s="2" t="str" cm="1">
        <f t="array" ref="N187">_xlfn.IFS(Tabela1[[#This Row],[qtde_]]="N/A", "N/A",Tabela1[[#This Row],[qtde_]]&lt;11,"BAIXO",Tabela1[[#This Row],[qtde_]]&lt;26,"MÉDIO",Tabela1[[#This Row],[qtde_]]&gt;=26,"ALTO")</f>
        <v>ALTO</v>
      </c>
      <c r="O187" s="12" t="str">
        <f>IF(AND(Tabela1[[#This Row],[nivel_risco]]="ALTO",Tabela1[[#This Row],[flag_inadimplente]] = "Sim"),"negada","aprovada")</f>
        <v>negada</v>
      </c>
      <c r="P187" s="12" t="str">
        <f>IF(AND(Tabela1[[#This Row],[credito_tomado]]&gt;50000,Tabela1[[#This Row],[flag_inadimplente]]="Sim"),"negada","aprovada")</f>
        <v>aprovada</v>
      </c>
      <c r="Q187" s="6">
        <v>12500</v>
      </c>
      <c r="R187" s="12" t="e" cm="1">
        <f t="array" ref="R18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88" spans="1:18" ht="15.75" customHeight="1" x14ac:dyDescent="0.2">
      <c r="A188" s="2" t="s">
        <v>80</v>
      </c>
      <c r="B188" s="7" t="s">
        <v>451</v>
      </c>
      <c r="D188" s="1" t="str">
        <f>TEXT(C188,"000\.000\.000\-00")</f>
        <v>000.000.000-00</v>
      </c>
      <c r="E188" s="2">
        <v>24</v>
      </c>
      <c r="F188" s="3" t="s">
        <v>83</v>
      </c>
      <c r="G188" s="2" t="s">
        <v>215</v>
      </c>
      <c r="H188" s="7" t="s">
        <v>220</v>
      </c>
      <c r="I188" s="7" t="str">
        <f>PROPER(Tabela1[[#This Row],[regiao]])</f>
        <v>Terras Da Coroa</v>
      </c>
      <c r="J188" s="8">
        <v>17000</v>
      </c>
      <c r="K188" s="9">
        <v>41000</v>
      </c>
      <c r="L188" s="2" t="s">
        <v>86</v>
      </c>
      <c r="M188" s="2">
        <v>37</v>
      </c>
      <c r="N188" s="2" t="str" cm="1">
        <f t="array" ref="N188">_xlfn.IFS(Tabela1[[#This Row],[qtde_]]="N/A", "N/A",Tabela1[[#This Row],[qtde_]]&lt;11,"BAIXO",Tabela1[[#This Row],[qtde_]]&lt;26,"MÉDIO",Tabela1[[#This Row],[qtde_]]&gt;=26,"ALTO")</f>
        <v>ALTO</v>
      </c>
      <c r="O188" s="12" t="str">
        <f>IF(AND(Tabela1[[#This Row],[nivel_risco]]="ALTO",Tabela1[[#This Row],[flag_inadimplente]] = "Sim"),"negada","aprovada")</f>
        <v>aprovada</v>
      </c>
      <c r="P188" s="12" t="str">
        <f>IF(AND(Tabela1[[#This Row],[credito_tomado]]&gt;50000,Tabela1[[#This Row],[flag_inadimplente]]="Sim"),"negada","aprovada")</f>
        <v>aprovada</v>
      </c>
      <c r="Q188" s="6">
        <v>33000</v>
      </c>
      <c r="R188" s="12" cm="1">
        <f t="array" ref="R18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2640</v>
      </c>
    </row>
    <row r="189" spans="1:18" ht="15.75" customHeight="1" x14ac:dyDescent="0.2">
      <c r="A189" s="2" t="s">
        <v>80</v>
      </c>
      <c r="B189" s="7" t="s">
        <v>431</v>
      </c>
      <c r="C189" s="1">
        <v>30500</v>
      </c>
      <c r="D189" s="1" t="str">
        <f>TEXT(C189,"000\.000\.000\-00")</f>
        <v>000.000.305-00</v>
      </c>
      <c r="E189" s="2">
        <v>62</v>
      </c>
      <c r="F189" s="3">
        <v>23278</v>
      </c>
      <c r="G189" s="2" t="s">
        <v>112</v>
      </c>
      <c r="H189" s="7" t="s">
        <v>113</v>
      </c>
      <c r="I189" s="7" t="str">
        <f>PROPER(Tabela1[[#This Row],[regiao]])</f>
        <v>Norte</v>
      </c>
      <c r="J189" s="8">
        <v>17000</v>
      </c>
      <c r="K189" s="9">
        <v>64000</v>
      </c>
      <c r="L189" s="2" t="s">
        <v>101</v>
      </c>
      <c r="M189" s="2">
        <v>21</v>
      </c>
      <c r="N189" s="2" t="str" cm="1">
        <f t="array" ref="N189">_xlfn.IFS(Tabela1[[#This Row],[qtde_]]="N/A", "N/A",Tabela1[[#This Row],[qtde_]]&lt;11,"BAIXO",Tabela1[[#This Row],[qtde_]]&lt;26,"MÉDIO",Tabela1[[#This Row],[qtde_]]&gt;=26,"ALTO")</f>
        <v>MÉDIO</v>
      </c>
      <c r="O189" s="12" t="str">
        <f>IF(AND(Tabela1[[#This Row],[nivel_risco]]="ALTO",Tabela1[[#This Row],[flag_inadimplente]] = "Sim"),"negada","aprovada")</f>
        <v>aprovada</v>
      </c>
      <c r="P189" s="12" t="str">
        <f>IF(AND(Tabela1[[#This Row],[credito_tomado]]&gt;50000,Tabela1[[#This Row],[flag_inadimplente]]="Sim"),"negada","aprovada")</f>
        <v>negada</v>
      </c>
      <c r="Q189" s="6">
        <v>19000</v>
      </c>
      <c r="R189" s="12" t="e" cm="1">
        <f t="array" ref="R18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90" spans="1:18" ht="15.75" customHeight="1" x14ac:dyDescent="0.2">
      <c r="A190" s="2" t="s">
        <v>96</v>
      </c>
      <c r="B190" s="7" t="s">
        <v>452</v>
      </c>
      <c r="C190" s="1" t="s">
        <v>453</v>
      </c>
      <c r="D190" s="1" t="str">
        <f>TEXT(C190,"000\.000\.000\-00")</f>
        <v>000.000.047-00</v>
      </c>
      <c r="E190" s="2">
        <v>63</v>
      </c>
      <c r="F190" s="3">
        <v>23084</v>
      </c>
      <c r="G190" s="2" t="s">
        <v>206</v>
      </c>
      <c r="H190" s="7" t="s">
        <v>85</v>
      </c>
      <c r="I190" s="7" t="str">
        <f>PROPER(Tabela1[[#This Row],[regiao]])</f>
        <v>Campina</v>
      </c>
      <c r="J190" s="8">
        <v>17300</v>
      </c>
      <c r="K190" s="9">
        <v>22000</v>
      </c>
      <c r="L190" s="2" t="s">
        <v>86</v>
      </c>
      <c r="M190" s="2">
        <v>10</v>
      </c>
      <c r="N190" s="2" t="str" cm="1">
        <f t="array" ref="N190">_xlfn.IFS(Tabela1[[#This Row],[qtde_]]="N/A", "N/A",Tabela1[[#This Row],[qtde_]]&lt;11,"BAIXO",Tabela1[[#This Row],[qtde_]]&lt;26,"MÉDIO",Tabela1[[#This Row],[qtde_]]&gt;=26,"ALTO")</f>
        <v>BAIXO</v>
      </c>
      <c r="O190" s="12" t="str">
        <f>IF(AND(Tabela1[[#This Row],[nivel_risco]]="ALTO",Tabela1[[#This Row],[flag_inadimplente]] = "Sim"),"negada","aprovada")</f>
        <v>aprovada</v>
      </c>
      <c r="P190" s="12" t="str">
        <f>IF(AND(Tabela1[[#This Row],[credito_tomado]]&gt;50000,Tabela1[[#This Row],[flag_inadimplente]]="Sim"),"negada","aprovada")</f>
        <v>aprovada</v>
      </c>
      <c r="Q190" s="6">
        <v>97000</v>
      </c>
      <c r="R190" s="12" t="e" cm="1">
        <f t="array" ref="R19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91" spans="1:18" ht="15.75" customHeight="1" x14ac:dyDescent="0.2">
      <c r="A191" s="2" t="s">
        <v>80</v>
      </c>
      <c r="B191" s="7" t="s">
        <v>454</v>
      </c>
      <c r="C191" s="1" t="s">
        <v>455</v>
      </c>
      <c r="D191" s="1" t="str">
        <f>TEXT(C191,"000\.000\.000\-00")</f>
        <v>000.000.253-00</v>
      </c>
      <c r="E191" s="2">
        <v>60</v>
      </c>
      <c r="F191" s="3">
        <v>24272</v>
      </c>
      <c r="G191" s="2" t="s">
        <v>121</v>
      </c>
      <c r="H191" s="7" t="s">
        <v>226</v>
      </c>
      <c r="I191" s="7" t="str">
        <f>PROPER(Tabela1[[#This Row],[regiao]])</f>
        <v>Campina</v>
      </c>
      <c r="J191" s="8">
        <v>17300</v>
      </c>
      <c r="K191" s="9">
        <v>15000</v>
      </c>
      <c r="L191" s="2" t="s">
        <v>86</v>
      </c>
      <c r="M191" s="2">
        <v>17</v>
      </c>
      <c r="N191" s="2" t="str" cm="1">
        <f t="array" ref="N191">_xlfn.IFS(Tabela1[[#This Row],[qtde_]]="N/A", "N/A",Tabela1[[#This Row],[qtde_]]&lt;11,"BAIXO",Tabela1[[#This Row],[qtde_]]&lt;26,"MÉDIO",Tabela1[[#This Row],[qtde_]]&gt;=26,"ALTO")</f>
        <v>MÉDIO</v>
      </c>
      <c r="O191" s="12" t="str">
        <f>IF(AND(Tabela1[[#This Row],[nivel_risco]]="ALTO",Tabela1[[#This Row],[flag_inadimplente]] = "Sim"),"negada","aprovada")</f>
        <v>aprovada</v>
      </c>
      <c r="P191" s="12" t="str">
        <f>IF(AND(Tabela1[[#This Row],[credito_tomado]]&gt;50000,Tabela1[[#This Row],[flag_inadimplente]]="Sim"),"negada","aprovada")</f>
        <v>aprovada</v>
      </c>
      <c r="Q191" s="6">
        <v>69000</v>
      </c>
      <c r="R191" s="12" cm="1">
        <f t="array" ref="R19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5520</v>
      </c>
    </row>
    <row r="192" spans="1:18" ht="15.75" customHeight="1" x14ac:dyDescent="0.2">
      <c r="A192" s="2" t="s">
        <v>80</v>
      </c>
      <c r="B192" s="7" t="s">
        <v>456</v>
      </c>
      <c r="C192" s="1" t="s">
        <v>457</v>
      </c>
      <c r="D192" s="1" t="str">
        <f>TEXT(C192,"000\.000\.000\-00")</f>
        <v>000.000.248-00</v>
      </c>
      <c r="E192" s="2">
        <v>40</v>
      </c>
      <c r="F192" s="3">
        <v>31408</v>
      </c>
      <c r="G192" s="2" t="s">
        <v>458</v>
      </c>
      <c r="H192" s="7" t="s">
        <v>139</v>
      </c>
      <c r="I192" s="7" t="str">
        <f>PROPER(Tabela1[[#This Row],[regiao]])</f>
        <v>Essos</v>
      </c>
      <c r="J192" s="8">
        <v>17400</v>
      </c>
      <c r="K192" s="9">
        <v>53000</v>
      </c>
      <c r="L192" s="2" t="s">
        <v>101</v>
      </c>
      <c r="M192" s="2">
        <v>20</v>
      </c>
      <c r="N192" s="2" t="str" cm="1">
        <f t="array" ref="N192">_xlfn.IFS(Tabela1[[#This Row],[qtde_]]="N/A", "N/A",Tabela1[[#This Row],[qtde_]]&lt;11,"BAIXO",Tabela1[[#This Row],[qtde_]]&lt;26,"MÉDIO",Tabela1[[#This Row],[qtde_]]&gt;=26,"ALTO")</f>
        <v>MÉDIO</v>
      </c>
      <c r="O192" s="12" t="str">
        <f>IF(AND(Tabela1[[#This Row],[nivel_risco]]="ALTO",Tabela1[[#This Row],[flag_inadimplente]] = "Sim"),"negada","aprovada")</f>
        <v>aprovada</v>
      </c>
      <c r="P192" s="12" t="str">
        <f>IF(AND(Tabela1[[#This Row],[credito_tomado]]&gt;50000,Tabela1[[#This Row],[flag_inadimplente]]="Sim"),"negada","aprovada")</f>
        <v>negada</v>
      </c>
      <c r="Q192" s="6">
        <v>52500</v>
      </c>
      <c r="R192" s="12" t="e" cm="1">
        <f t="array" ref="R19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93" spans="1:18" ht="15.75" customHeight="1" x14ac:dyDescent="0.2">
      <c r="A193" s="2" t="s">
        <v>80</v>
      </c>
      <c r="B193" s="7" t="s">
        <v>459</v>
      </c>
      <c r="C193" s="1" t="s">
        <v>460</v>
      </c>
      <c r="D193" s="1" t="str">
        <f>TEXT(C193,"000\.000\.000\-00")</f>
        <v>000.000.113-00</v>
      </c>
      <c r="E193" s="2">
        <v>55</v>
      </c>
      <c r="F193" s="3">
        <v>25844</v>
      </c>
      <c r="G193" s="2" t="s">
        <v>84</v>
      </c>
      <c r="H193" s="7" t="s">
        <v>226</v>
      </c>
      <c r="I193" s="7" t="str">
        <f>PROPER(Tabela1[[#This Row],[regiao]])</f>
        <v>Campina</v>
      </c>
      <c r="J193" s="8">
        <v>17400</v>
      </c>
      <c r="K193" s="9">
        <v>75500</v>
      </c>
      <c r="L193" s="2" t="s">
        <v>86</v>
      </c>
      <c r="M193" s="2">
        <v>9</v>
      </c>
      <c r="N193" s="2" t="str" cm="1">
        <f t="array" ref="N193">_xlfn.IFS(Tabela1[[#This Row],[qtde_]]="N/A", "N/A",Tabela1[[#This Row],[qtde_]]&lt;11,"BAIXO",Tabela1[[#This Row],[qtde_]]&lt;26,"MÉDIO",Tabela1[[#This Row],[qtde_]]&gt;=26,"ALTO")</f>
        <v>BAIXO</v>
      </c>
      <c r="O193" s="12" t="str">
        <f>IF(AND(Tabela1[[#This Row],[nivel_risco]]="ALTO",Tabela1[[#This Row],[flag_inadimplente]] = "Sim"),"negada","aprovada")</f>
        <v>aprovada</v>
      </c>
      <c r="P193" s="12" t="str">
        <f>IF(AND(Tabela1[[#This Row],[credito_tomado]]&gt;50000,Tabela1[[#This Row],[flag_inadimplente]]="Sim"),"negada","aprovada")</f>
        <v>aprovada</v>
      </c>
      <c r="Q193" s="6">
        <v>52000</v>
      </c>
      <c r="R193" s="12" cm="1">
        <f t="array" ref="R19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4160</v>
      </c>
    </row>
    <row r="194" spans="1:18" ht="15.75" customHeight="1" x14ac:dyDescent="0.2">
      <c r="A194" s="2" t="s">
        <v>80</v>
      </c>
      <c r="B194" s="7" t="s">
        <v>461</v>
      </c>
      <c r="C194" s="1" t="s">
        <v>236</v>
      </c>
      <c r="D194" s="1" t="str">
        <f>TEXT(C194,"000\.000\.000\-00")</f>
        <v>000.000.379-00</v>
      </c>
      <c r="E194" s="2">
        <v>42</v>
      </c>
      <c r="F194" s="3">
        <v>30878</v>
      </c>
      <c r="G194" s="2" t="s">
        <v>94</v>
      </c>
      <c r="H194" s="7" t="s">
        <v>162</v>
      </c>
      <c r="I194" s="7" t="str">
        <f>PROPER(Tabela1[[#This Row],[regiao]])</f>
        <v>Ilhas De Ferro</v>
      </c>
      <c r="J194" s="8">
        <v>17500</v>
      </c>
      <c r="K194" s="9">
        <v>3500</v>
      </c>
      <c r="L194" s="2" t="s">
        <v>86</v>
      </c>
      <c r="M194" s="2">
        <v>25</v>
      </c>
      <c r="N194" s="2" t="str" cm="1">
        <f t="array" ref="N194">_xlfn.IFS(Tabela1[[#This Row],[qtde_]]="N/A", "N/A",Tabela1[[#This Row],[qtde_]]&lt;11,"BAIXO",Tabela1[[#This Row],[qtde_]]&lt;26,"MÉDIO",Tabela1[[#This Row],[qtde_]]&gt;=26,"ALTO")</f>
        <v>MÉDIO</v>
      </c>
      <c r="O194" s="12" t="str">
        <f>IF(AND(Tabela1[[#This Row],[nivel_risco]]="ALTO",Tabela1[[#This Row],[flag_inadimplente]] = "Sim"),"negada","aprovada")</f>
        <v>aprovada</v>
      </c>
      <c r="P194" s="12" t="str">
        <f>IF(AND(Tabela1[[#This Row],[credito_tomado]]&gt;50000,Tabela1[[#This Row],[flag_inadimplente]]="Sim"),"negada","aprovada")</f>
        <v>aprovada</v>
      </c>
      <c r="Q194" s="6">
        <v>35000</v>
      </c>
      <c r="R194" s="12" cm="1">
        <f t="array" ref="R19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2800</v>
      </c>
    </row>
    <row r="195" spans="1:18" ht="15.75" customHeight="1" x14ac:dyDescent="0.2">
      <c r="A195" s="2" t="s">
        <v>80</v>
      </c>
      <c r="B195" s="7" t="s">
        <v>462</v>
      </c>
      <c r="C195" s="1">
        <v>8600</v>
      </c>
      <c r="D195" s="1" t="str">
        <f>TEXT(C195,"000\.000\.000\-00")</f>
        <v>000.000.086-00</v>
      </c>
      <c r="E195" s="2" t="s">
        <v>83</v>
      </c>
      <c r="F195" s="3">
        <v>32260</v>
      </c>
      <c r="G195" s="2" t="s">
        <v>94</v>
      </c>
      <c r="H195" s="7" t="s">
        <v>162</v>
      </c>
      <c r="I195" s="7" t="str">
        <f>PROPER(Tabela1[[#This Row],[regiao]])</f>
        <v>Ilhas De Ferro</v>
      </c>
      <c r="J195" s="8">
        <v>17600</v>
      </c>
      <c r="K195" s="9">
        <v>0</v>
      </c>
      <c r="L195" s="2" t="s">
        <v>101</v>
      </c>
      <c r="M195" s="2">
        <v>31</v>
      </c>
      <c r="N195" s="2" t="str" cm="1">
        <f t="array" ref="N195">_xlfn.IFS(Tabela1[[#This Row],[qtde_]]="N/A", "N/A",Tabela1[[#This Row],[qtde_]]&lt;11,"BAIXO",Tabela1[[#This Row],[qtde_]]&lt;26,"MÉDIO",Tabela1[[#This Row],[qtde_]]&gt;=26,"ALTO")</f>
        <v>ALTO</v>
      </c>
      <c r="O195" s="12" t="str">
        <f>IF(AND(Tabela1[[#This Row],[nivel_risco]]="ALTO",Tabela1[[#This Row],[flag_inadimplente]] = "Sim"),"negada","aprovada")</f>
        <v>negada</v>
      </c>
      <c r="P195" s="12" t="str">
        <f>IF(AND(Tabela1[[#This Row],[credito_tomado]]&gt;50000,Tabela1[[#This Row],[flag_inadimplente]]="Sim"),"negada","aprovada")</f>
        <v>aprovada</v>
      </c>
      <c r="Q195" s="6">
        <v>47500</v>
      </c>
      <c r="R195" s="12" t="e" cm="1">
        <f t="array" ref="R19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96" spans="1:18" ht="15.75" customHeight="1" x14ac:dyDescent="0.2">
      <c r="A196" s="2" t="s">
        <v>96</v>
      </c>
      <c r="B196" s="7" t="s">
        <v>463</v>
      </c>
      <c r="C196" s="1">
        <v>3400</v>
      </c>
      <c r="D196" s="1" t="str">
        <f>TEXT(C196,"000\.000\.000\-00")</f>
        <v>000.000.034-00</v>
      </c>
      <c r="E196" s="2">
        <v>35</v>
      </c>
      <c r="F196" s="3">
        <v>33204</v>
      </c>
      <c r="G196" s="2" t="s">
        <v>267</v>
      </c>
      <c r="H196" s="7" t="s">
        <v>157</v>
      </c>
      <c r="I196" s="7" t="str">
        <f>PROPER(Tabela1[[#This Row],[regiao]])</f>
        <v>Norte</v>
      </c>
      <c r="J196" s="8">
        <v>17600</v>
      </c>
      <c r="K196" s="9">
        <v>44000</v>
      </c>
      <c r="L196" s="2" t="s">
        <v>86</v>
      </c>
      <c r="M196" s="2">
        <v>22</v>
      </c>
      <c r="N196" s="2" t="str" cm="1">
        <f t="array" ref="N196">_xlfn.IFS(Tabela1[[#This Row],[qtde_]]="N/A", "N/A",Tabela1[[#This Row],[qtde_]]&lt;11,"BAIXO",Tabela1[[#This Row],[qtde_]]&lt;26,"MÉDIO",Tabela1[[#This Row],[qtde_]]&gt;=26,"ALTO")</f>
        <v>MÉDIO</v>
      </c>
      <c r="O196" s="12" t="str">
        <f>IF(AND(Tabela1[[#This Row],[nivel_risco]]="ALTO",Tabela1[[#This Row],[flag_inadimplente]] = "Sim"),"negada","aprovada")</f>
        <v>aprovada</v>
      </c>
      <c r="P196" s="12" t="str">
        <f>IF(AND(Tabela1[[#This Row],[credito_tomado]]&gt;50000,Tabela1[[#This Row],[flag_inadimplente]]="Sim"),"negada","aprovada")</f>
        <v>aprovada</v>
      </c>
      <c r="Q196" s="6">
        <v>56500</v>
      </c>
      <c r="R196" s="12" t="e" cm="1">
        <f t="array" ref="R19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197" spans="1:18" ht="15.75" customHeight="1" x14ac:dyDescent="0.2">
      <c r="A197" s="2" t="s">
        <v>80</v>
      </c>
      <c r="B197" s="7" t="s">
        <v>464</v>
      </c>
      <c r="C197" s="1">
        <v>30000</v>
      </c>
      <c r="D197" s="1" t="str">
        <f>TEXT(C197,"000\.000\.000\-00")</f>
        <v>000.000.300-00</v>
      </c>
      <c r="E197" s="2">
        <v>48</v>
      </c>
      <c r="F197" s="3">
        <v>28509</v>
      </c>
      <c r="G197" s="2" t="s">
        <v>132</v>
      </c>
      <c r="H197" s="7" t="s">
        <v>133</v>
      </c>
      <c r="I197" s="7" t="str">
        <f>PROPER(Tabela1[[#This Row],[regiao]])</f>
        <v>Terras Fluviais</v>
      </c>
      <c r="J197" s="8">
        <v>17800</v>
      </c>
      <c r="K197" s="9">
        <v>9000</v>
      </c>
      <c r="L197" s="2" t="s">
        <v>86</v>
      </c>
      <c r="M197" s="2">
        <v>28</v>
      </c>
      <c r="N197" s="2" t="str" cm="1">
        <f t="array" ref="N197">_xlfn.IFS(Tabela1[[#This Row],[qtde_]]="N/A", "N/A",Tabela1[[#This Row],[qtde_]]&lt;11,"BAIXO",Tabela1[[#This Row],[qtde_]]&lt;26,"MÉDIO",Tabela1[[#This Row],[qtde_]]&gt;=26,"ALTO")</f>
        <v>ALTO</v>
      </c>
      <c r="O197" s="12" t="str">
        <f>IF(AND(Tabela1[[#This Row],[nivel_risco]]="ALTO",Tabela1[[#This Row],[flag_inadimplente]] = "Sim"),"negada","aprovada")</f>
        <v>aprovada</v>
      </c>
      <c r="P197" s="12" t="str">
        <f>IF(AND(Tabela1[[#This Row],[credito_tomado]]&gt;50000,Tabela1[[#This Row],[flag_inadimplente]]="Sim"),"negada","aprovada")</f>
        <v>aprovada</v>
      </c>
      <c r="Q197" s="6">
        <v>80000</v>
      </c>
      <c r="R197" s="12" cm="1">
        <f t="array" ref="R19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6400</v>
      </c>
    </row>
    <row r="198" spans="1:18" ht="15.75" customHeight="1" x14ac:dyDescent="0.2">
      <c r="A198" s="2" t="s">
        <v>80</v>
      </c>
      <c r="B198" s="7" t="s">
        <v>465</v>
      </c>
      <c r="C198" s="1" t="s">
        <v>466</v>
      </c>
      <c r="D198" s="1" t="str">
        <f>TEXT(C198,"000\.000\.000\-00")</f>
        <v>000.000.003-00</v>
      </c>
      <c r="E198" s="2">
        <v>23</v>
      </c>
      <c r="F198" s="3">
        <v>37785</v>
      </c>
      <c r="G198" s="2" t="s">
        <v>89</v>
      </c>
      <c r="H198" s="7" t="s">
        <v>220</v>
      </c>
      <c r="I198" s="7" t="str">
        <f>PROPER(Tabela1[[#This Row],[regiao]])</f>
        <v>Terras Da Coroa</v>
      </c>
      <c r="J198" s="8">
        <v>17900</v>
      </c>
      <c r="K198" s="9">
        <v>28000</v>
      </c>
      <c r="L198" s="2" t="s">
        <v>86</v>
      </c>
      <c r="M198" s="2">
        <v>41</v>
      </c>
      <c r="N198" s="2" t="str" cm="1">
        <f t="array" ref="N198">_xlfn.IFS(Tabela1[[#This Row],[qtde_]]="N/A", "N/A",Tabela1[[#This Row],[qtde_]]&lt;11,"BAIXO",Tabela1[[#This Row],[qtde_]]&lt;26,"MÉDIO",Tabela1[[#This Row],[qtde_]]&gt;=26,"ALTO")</f>
        <v>ALTO</v>
      </c>
      <c r="O198" s="12" t="str">
        <f>IF(AND(Tabela1[[#This Row],[nivel_risco]]="ALTO",Tabela1[[#This Row],[flag_inadimplente]] = "Sim"),"negada","aprovada")</f>
        <v>aprovada</v>
      </c>
      <c r="P198" s="12" t="str">
        <f>IF(AND(Tabela1[[#This Row],[credito_tomado]]&gt;50000,Tabela1[[#This Row],[flag_inadimplente]]="Sim"),"negada","aprovada")</f>
        <v>aprovada</v>
      </c>
      <c r="Q198" s="6">
        <v>52500</v>
      </c>
      <c r="R198" s="12" cm="1">
        <f t="array" ref="R19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4200</v>
      </c>
    </row>
    <row r="199" spans="1:18" ht="15.75" customHeight="1" x14ac:dyDescent="0.2">
      <c r="A199" s="2" t="s">
        <v>80</v>
      </c>
      <c r="B199" s="7" t="s">
        <v>467</v>
      </c>
      <c r="C199" s="1" t="s">
        <v>208</v>
      </c>
      <c r="D199" s="1" t="str">
        <f>TEXT(C199,"000\.000\.000\-00")</f>
        <v>000.000.337-00</v>
      </c>
      <c r="E199" s="2">
        <v>19</v>
      </c>
      <c r="F199" s="3">
        <v>39220</v>
      </c>
      <c r="G199" s="2" t="s">
        <v>206</v>
      </c>
      <c r="H199" s="7" t="s">
        <v>85</v>
      </c>
      <c r="I199" s="7" t="str">
        <f>PROPER(Tabela1[[#This Row],[regiao]])</f>
        <v>Campina</v>
      </c>
      <c r="J199" s="8">
        <v>18000</v>
      </c>
      <c r="K199" s="9">
        <v>50500</v>
      </c>
      <c r="L199" s="2" t="s">
        <v>101</v>
      </c>
      <c r="M199" s="2">
        <v>11</v>
      </c>
      <c r="N199" s="2" t="str" cm="1">
        <f t="array" ref="N199">_xlfn.IFS(Tabela1[[#This Row],[qtde_]]="N/A", "N/A",Tabela1[[#This Row],[qtde_]]&lt;11,"BAIXO",Tabela1[[#This Row],[qtde_]]&lt;26,"MÉDIO",Tabela1[[#This Row],[qtde_]]&gt;=26,"ALTO")</f>
        <v>MÉDIO</v>
      </c>
      <c r="O199" s="12" t="str">
        <f>IF(AND(Tabela1[[#This Row],[nivel_risco]]="ALTO",Tabela1[[#This Row],[flag_inadimplente]] = "Sim"),"negada","aprovada")</f>
        <v>aprovada</v>
      </c>
      <c r="P199" s="12" t="str">
        <f>IF(AND(Tabela1[[#This Row],[credito_tomado]]&gt;50000,Tabela1[[#This Row],[flag_inadimplente]]="Sim"),"negada","aprovada")</f>
        <v>negada</v>
      </c>
      <c r="Q199" s="6">
        <v>26000</v>
      </c>
      <c r="R199" s="12" t="e" cm="1">
        <f t="array" ref="R19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00" spans="1:18" ht="15.75" customHeight="1" x14ac:dyDescent="0.2">
      <c r="A200" s="2" t="s">
        <v>80</v>
      </c>
      <c r="B200" s="7" t="s">
        <v>468</v>
      </c>
      <c r="C200" s="1" t="s">
        <v>469</v>
      </c>
      <c r="D200" s="1" t="str">
        <f>TEXT(C200,"000\.000\.000\-00")</f>
        <v>000.000.220-00</v>
      </c>
      <c r="E200" s="2">
        <v>65</v>
      </c>
      <c r="F200" s="3">
        <v>22366</v>
      </c>
      <c r="G200" s="2" t="s">
        <v>84</v>
      </c>
      <c r="H200" s="7" t="s">
        <v>122</v>
      </c>
      <c r="I200" s="7" t="str">
        <f>PROPER(Tabela1[[#This Row],[regiao]])</f>
        <v>Campina</v>
      </c>
      <c r="J200" s="8">
        <v>18000</v>
      </c>
      <c r="K200" s="9">
        <v>0</v>
      </c>
      <c r="L200" s="2" t="s">
        <v>86</v>
      </c>
      <c r="M200" s="2">
        <v>27</v>
      </c>
      <c r="N200" s="2" t="str" cm="1">
        <f t="array" ref="N200">_xlfn.IFS(Tabela1[[#This Row],[qtde_]]="N/A", "N/A",Tabela1[[#This Row],[qtde_]]&lt;11,"BAIXO",Tabela1[[#This Row],[qtde_]]&lt;26,"MÉDIO",Tabela1[[#This Row],[qtde_]]&gt;=26,"ALTO")</f>
        <v>ALTO</v>
      </c>
      <c r="O200" s="12" t="str">
        <f>IF(AND(Tabela1[[#This Row],[nivel_risco]]="ALTO",Tabela1[[#This Row],[flag_inadimplente]] = "Sim"),"negada","aprovada")</f>
        <v>aprovada</v>
      </c>
      <c r="P200" s="12" t="str">
        <f>IF(AND(Tabela1[[#This Row],[credito_tomado]]&gt;50000,Tabela1[[#This Row],[flag_inadimplente]]="Sim"),"negada","aprovada")</f>
        <v>aprovada</v>
      </c>
      <c r="Q200" s="6">
        <v>38500</v>
      </c>
      <c r="R200" s="12" cm="1">
        <f t="array" ref="R20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3080</v>
      </c>
    </row>
    <row r="201" spans="1:18" ht="15.75" customHeight="1" x14ac:dyDescent="0.2">
      <c r="A201" s="2" t="s">
        <v>80</v>
      </c>
      <c r="B201" s="7" t="s">
        <v>470</v>
      </c>
      <c r="C201" s="1" t="s">
        <v>471</v>
      </c>
      <c r="D201" s="1" t="str">
        <f>TEXT(C201,"000\.000\.000\-00")</f>
        <v>000.000.155-00</v>
      </c>
      <c r="E201" s="2" t="s">
        <v>83</v>
      </c>
      <c r="F201" s="3">
        <v>39230</v>
      </c>
      <c r="G201" s="2" t="s">
        <v>84</v>
      </c>
      <c r="H201" s="7" t="s">
        <v>85</v>
      </c>
      <c r="I201" s="7" t="str">
        <f>PROPER(Tabela1[[#This Row],[regiao]])</f>
        <v>Campina</v>
      </c>
      <c r="J201" s="8">
        <v>18000</v>
      </c>
      <c r="K201" s="9">
        <v>49500</v>
      </c>
      <c r="L201" s="2" t="s">
        <v>86</v>
      </c>
      <c r="M201" s="2">
        <v>25</v>
      </c>
      <c r="N201" s="2" t="str" cm="1">
        <f t="array" ref="N201">_xlfn.IFS(Tabela1[[#This Row],[qtde_]]="N/A", "N/A",Tabela1[[#This Row],[qtde_]]&lt;11,"BAIXO",Tabela1[[#This Row],[qtde_]]&lt;26,"MÉDIO",Tabela1[[#This Row],[qtde_]]&gt;=26,"ALTO")</f>
        <v>MÉDIO</v>
      </c>
      <c r="O201" s="12" t="str">
        <f>IF(AND(Tabela1[[#This Row],[nivel_risco]]="ALTO",Tabela1[[#This Row],[flag_inadimplente]] = "Sim"),"negada","aprovada")</f>
        <v>aprovada</v>
      </c>
      <c r="P201" s="12" t="str">
        <f>IF(AND(Tabela1[[#This Row],[credito_tomado]]&gt;50000,Tabela1[[#This Row],[flag_inadimplente]]="Sim"),"negada","aprovada")</f>
        <v>aprovada</v>
      </c>
      <c r="Q201" s="6">
        <v>46500</v>
      </c>
      <c r="R201" s="12" cm="1">
        <f t="array" ref="R20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3720</v>
      </c>
    </row>
    <row r="202" spans="1:18" ht="15.75" customHeight="1" x14ac:dyDescent="0.2">
      <c r="A202" s="2" t="s">
        <v>80</v>
      </c>
      <c r="B202" s="7" t="s">
        <v>472</v>
      </c>
      <c r="C202" s="1">
        <v>13700</v>
      </c>
      <c r="D202" s="1" t="str">
        <f>TEXT(C202,"000\.000\.000\-00")</f>
        <v>000.000.137-00</v>
      </c>
      <c r="E202" s="2">
        <v>73</v>
      </c>
      <c r="F202" s="3">
        <v>19323</v>
      </c>
      <c r="G202" s="2" t="s">
        <v>108</v>
      </c>
      <c r="H202" s="7" t="s">
        <v>109</v>
      </c>
      <c r="I202" s="7" t="str">
        <f>PROPER(Tabela1[[#This Row],[regiao]])</f>
        <v>Gargalo</v>
      </c>
      <c r="J202" s="8">
        <v>18100</v>
      </c>
      <c r="K202" s="9">
        <v>0</v>
      </c>
      <c r="L202" s="2" t="s">
        <v>86</v>
      </c>
      <c r="M202" s="2">
        <v>36</v>
      </c>
      <c r="N202" s="2" t="str" cm="1">
        <f t="array" ref="N202">_xlfn.IFS(Tabela1[[#This Row],[qtde_]]="N/A", "N/A",Tabela1[[#This Row],[qtde_]]&lt;11,"BAIXO",Tabela1[[#This Row],[qtde_]]&lt;26,"MÉDIO",Tabela1[[#This Row],[qtde_]]&gt;=26,"ALTO")</f>
        <v>ALTO</v>
      </c>
      <c r="O202" s="12" t="str">
        <f>IF(AND(Tabela1[[#This Row],[nivel_risco]]="ALTO",Tabela1[[#This Row],[flag_inadimplente]] = "Sim"),"negada","aprovada")</f>
        <v>aprovada</v>
      </c>
      <c r="P202" s="12" t="str">
        <f>IF(AND(Tabela1[[#This Row],[credito_tomado]]&gt;50000,Tabela1[[#This Row],[flag_inadimplente]]="Sim"),"negada","aprovada")</f>
        <v>aprovada</v>
      </c>
      <c r="Q202" s="6">
        <v>89000</v>
      </c>
      <c r="R202" s="12" cm="1">
        <f t="array" ref="R20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7120</v>
      </c>
    </row>
    <row r="203" spans="1:18" ht="15.75" customHeight="1" x14ac:dyDescent="0.2">
      <c r="A203" s="2" t="s">
        <v>96</v>
      </c>
      <c r="B203" s="7" t="s">
        <v>473</v>
      </c>
      <c r="C203" s="1" t="s">
        <v>474</v>
      </c>
      <c r="D203" s="1" t="str">
        <f>TEXT(C203,"000\.000\.000\-00")</f>
        <v>000.000.059-00</v>
      </c>
      <c r="E203" s="2">
        <v>42</v>
      </c>
      <c r="F203" s="3">
        <v>30810</v>
      </c>
      <c r="G203" s="2" t="s">
        <v>94</v>
      </c>
      <c r="H203" s="7" t="s">
        <v>162</v>
      </c>
      <c r="I203" s="7" t="str">
        <f>PROPER(Tabela1[[#This Row],[regiao]])</f>
        <v>Ilhas De Ferro</v>
      </c>
      <c r="J203" s="8">
        <v>18200</v>
      </c>
      <c r="K203" s="9">
        <v>31000</v>
      </c>
      <c r="L203" s="2" t="s">
        <v>86</v>
      </c>
      <c r="M203" s="2">
        <v>19</v>
      </c>
      <c r="N203" s="2" t="str" cm="1">
        <f t="array" ref="N203">_xlfn.IFS(Tabela1[[#This Row],[qtde_]]="N/A", "N/A",Tabela1[[#This Row],[qtde_]]&lt;11,"BAIXO",Tabela1[[#This Row],[qtde_]]&lt;26,"MÉDIO",Tabela1[[#This Row],[qtde_]]&gt;=26,"ALTO")</f>
        <v>MÉDIO</v>
      </c>
      <c r="O203" s="12" t="str">
        <f>IF(AND(Tabela1[[#This Row],[nivel_risco]]="ALTO",Tabela1[[#This Row],[flag_inadimplente]] = "Sim"),"negada","aprovada")</f>
        <v>aprovada</v>
      </c>
      <c r="P203" s="12" t="str">
        <f>IF(AND(Tabela1[[#This Row],[credito_tomado]]&gt;50000,Tabela1[[#This Row],[flag_inadimplente]]="Sim"),"negada","aprovada")</f>
        <v>aprovada</v>
      </c>
      <c r="Q203" s="6">
        <v>63500</v>
      </c>
      <c r="R203" s="12" t="e" cm="1">
        <f t="array" ref="R20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04" spans="1:18" ht="15.75" customHeight="1" x14ac:dyDescent="0.2">
      <c r="A204" s="2" t="s">
        <v>80</v>
      </c>
      <c r="B204" s="7" t="s">
        <v>341</v>
      </c>
      <c r="C204" s="1" t="s">
        <v>475</v>
      </c>
      <c r="D204" s="1" t="str">
        <f>TEXT(C204,"000\.000\.000\-00")</f>
        <v>000.000.103-00</v>
      </c>
      <c r="E204" s="2">
        <v>20</v>
      </c>
      <c r="F204" s="3">
        <v>38957</v>
      </c>
      <c r="G204" s="2" t="s">
        <v>99</v>
      </c>
      <c r="H204" s="7" t="s">
        <v>113</v>
      </c>
      <c r="I204" s="7" t="str">
        <f>PROPER(Tabela1[[#This Row],[regiao]])</f>
        <v>Norte</v>
      </c>
      <c r="J204" s="8">
        <v>18200</v>
      </c>
      <c r="K204" s="9" t="s">
        <v>83</v>
      </c>
      <c r="L204" s="2" t="s">
        <v>86</v>
      </c>
      <c r="M204" s="2">
        <v>21</v>
      </c>
      <c r="N204" s="2" t="str" cm="1">
        <f t="array" ref="N204">_xlfn.IFS(Tabela1[[#This Row],[qtde_]]="N/A", "N/A",Tabela1[[#This Row],[qtde_]]&lt;11,"BAIXO",Tabela1[[#This Row],[qtde_]]&lt;26,"MÉDIO",Tabela1[[#This Row],[qtde_]]&gt;=26,"ALTO")</f>
        <v>MÉDIO</v>
      </c>
      <c r="O204" s="12" t="str">
        <f>IF(AND(Tabela1[[#This Row],[nivel_risco]]="ALTO",Tabela1[[#This Row],[flag_inadimplente]] = "Sim"),"negada","aprovada")</f>
        <v>aprovada</v>
      </c>
      <c r="P204" s="12" t="str">
        <f>IF(AND(Tabela1[[#This Row],[credito_tomado]]&gt;50000,Tabela1[[#This Row],[flag_inadimplente]]="Sim"),"negada","aprovada")</f>
        <v>aprovada</v>
      </c>
      <c r="Q204" s="6">
        <v>61500</v>
      </c>
      <c r="R204" s="12" t="str" cm="1">
        <f t="array" ref="R20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05" spans="1:18" ht="15.75" customHeight="1" x14ac:dyDescent="0.2">
      <c r="A205" s="2" t="s">
        <v>96</v>
      </c>
      <c r="B205" s="7" t="s">
        <v>476</v>
      </c>
      <c r="C205" s="1">
        <v>3200</v>
      </c>
      <c r="D205" s="1" t="str">
        <f>TEXT(C205,"000\.000\.000\-00")</f>
        <v>000.000.032-00</v>
      </c>
      <c r="E205" s="2">
        <v>31</v>
      </c>
      <c r="F205" s="3">
        <v>34746</v>
      </c>
      <c r="G205" s="2" t="s">
        <v>124</v>
      </c>
      <c r="H205" s="7" t="s">
        <v>125</v>
      </c>
      <c r="I205" s="7" t="str">
        <f>PROPER(Tabela1[[#This Row],[regiao]])</f>
        <v>Essos</v>
      </c>
      <c r="J205" s="8">
        <v>18200</v>
      </c>
      <c r="K205" s="9">
        <v>78500</v>
      </c>
      <c r="L205" s="2" t="s">
        <v>86</v>
      </c>
      <c r="M205" s="2">
        <v>9</v>
      </c>
      <c r="N205" s="2" t="str" cm="1">
        <f t="array" ref="N205">_xlfn.IFS(Tabela1[[#This Row],[qtde_]]="N/A", "N/A",Tabela1[[#This Row],[qtde_]]&lt;11,"BAIXO",Tabela1[[#This Row],[qtde_]]&lt;26,"MÉDIO",Tabela1[[#This Row],[qtde_]]&gt;=26,"ALTO")</f>
        <v>BAIXO</v>
      </c>
      <c r="O205" s="12" t="str">
        <f>IF(AND(Tabela1[[#This Row],[nivel_risco]]="ALTO",Tabela1[[#This Row],[flag_inadimplente]] = "Sim"),"negada","aprovada")</f>
        <v>aprovada</v>
      </c>
      <c r="P205" s="12" t="str">
        <f>IF(AND(Tabela1[[#This Row],[credito_tomado]]&gt;50000,Tabela1[[#This Row],[flag_inadimplente]]="Sim"),"negada","aprovada")</f>
        <v>aprovada</v>
      </c>
      <c r="Q205" s="6">
        <v>73000</v>
      </c>
      <c r="R205" s="12" t="e" cm="1">
        <f t="array" ref="R20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06" spans="1:18" ht="15.75" customHeight="1" x14ac:dyDescent="0.2">
      <c r="A206" s="2" t="s">
        <v>80</v>
      </c>
      <c r="B206" s="7" t="s">
        <v>477</v>
      </c>
      <c r="C206" s="1" t="s">
        <v>478</v>
      </c>
      <c r="D206" s="1" t="str">
        <f>TEXT(C206,"000\.000\.000\-00")</f>
        <v>000.000.037-00</v>
      </c>
      <c r="E206" s="2">
        <v>25</v>
      </c>
      <c r="F206" s="3">
        <v>36824</v>
      </c>
      <c r="G206" s="2" t="s">
        <v>112</v>
      </c>
      <c r="H206" s="7" t="s">
        <v>113</v>
      </c>
      <c r="I206" s="7" t="str">
        <f>PROPER(Tabela1[[#This Row],[regiao]])</f>
        <v>Norte</v>
      </c>
      <c r="J206" s="8">
        <v>18300</v>
      </c>
      <c r="K206" s="9">
        <v>41000</v>
      </c>
      <c r="L206" s="2" t="s">
        <v>86</v>
      </c>
      <c r="M206" s="2">
        <v>9</v>
      </c>
      <c r="N206" s="2" t="str" cm="1">
        <f t="array" ref="N206">_xlfn.IFS(Tabela1[[#This Row],[qtde_]]="N/A", "N/A",Tabela1[[#This Row],[qtde_]]&lt;11,"BAIXO",Tabela1[[#This Row],[qtde_]]&lt;26,"MÉDIO",Tabela1[[#This Row],[qtde_]]&gt;=26,"ALTO")</f>
        <v>BAIXO</v>
      </c>
      <c r="O206" s="12" t="str">
        <f>IF(AND(Tabela1[[#This Row],[nivel_risco]]="ALTO",Tabela1[[#This Row],[flag_inadimplente]] = "Sim"),"negada","aprovada")</f>
        <v>aprovada</v>
      </c>
      <c r="P206" s="12" t="str">
        <f>IF(AND(Tabela1[[#This Row],[credito_tomado]]&gt;50000,Tabela1[[#This Row],[flag_inadimplente]]="Sim"),"negada","aprovada")</f>
        <v>aprovada</v>
      </c>
      <c r="Q206" s="6">
        <v>32500</v>
      </c>
      <c r="R206" s="12" cm="1">
        <f t="array" ref="R20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2600</v>
      </c>
    </row>
    <row r="207" spans="1:18" ht="15.75" customHeight="1" x14ac:dyDescent="0.2">
      <c r="A207" s="2" t="s">
        <v>80</v>
      </c>
      <c r="B207" s="7" t="s">
        <v>479</v>
      </c>
      <c r="C207" s="1" t="s">
        <v>480</v>
      </c>
      <c r="D207" s="1" t="str">
        <f>TEXT(C207,"000\.000\.000\-00")</f>
        <v>000.000.052-00</v>
      </c>
      <c r="E207" s="2">
        <v>43</v>
      </c>
      <c r="F207" s="3">
        <v>30309</v>
      </c>
      <c r="G207" s="2" t="s">
        <v>108</v>
      </c>
      <c r="H207" s="7" t="s">
        <v>130</v>
      </c>
      <c r="I207" s="7" t="str">
        <f>PROPER(Tabela1[[#This Row],[regiao]])</f>
        <v>Gargalo</v>
      </c>
      <c r="J207" s="8">
        <v>18400</v>
      </c>
      <c r="K207" s="9">
        <v>62000</v>
      </c>
      <c r="L207" s="2" t="s">
        <v>86</v>
      </c>
      <c r="M207" s="2">
        <v>33</v>
      </c>
      <c r="N207" s="2" t="str" cm="1">
        <f t="array" ref="N207">_xlfn.IFS(Tabela1[[#This Row],[qtde_]]="N/A", "N/A",Tabela1[[#This Row],[qtde_]]&lt;11,"BAIXO",Tabela1[[#This Row],[qtde_]]&lt;26,"MÉDIO",Tabela1[[#This Row],[qtde_]]&gt;=26,"ALTO")</f>
        <v>ALTO</v>
      </c>
      <c r="O207" s="12" t="str">
        <f>IF(AND(Tabela1[[#This Row],[nivel_risco]]="ALTO",Tabela1[[#This Row],[flag_inadimplente]] = "Sim"),"negada","aprovada")</f>
        <v>aprovada</v>
      </c>
      <c r="P207" s="12" t="str">
        <f>IF(AND(Tabela1[[#This Row],[credito_tomado]]&gt;50000,Tabela1[[#This Row],[flag_inadimplente]]="Sim"),"negada","aprovada")</f>
        <v>aprovada</v>
      </c>
      <c r="Q207" s="6">
        <v>31000</v>
      </c>
      <c r="R207" s="12" cm="1">
        <f t="array" ref="R20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2480</v>
      </c>
    </row>
    <row r="208" spans="1:18" ht="15.75" customHeight="1" x14ac:dyDescent="0.2">
      <c r="A208" s="2" t="s">
        <v>80</v>
      </c>
      <c r="B208" s="7" t="s">
        <v>481</v>
      </c>
      <c r="C208" s="1" t="s">
        <v>482</v>
      </c>
      <c r="D208" s="1" t="str">
        <f>TEXT(C208,"000\.000\.000\-00")</f>
        <v>000.000.342-00</v>
      </c>
      <c r="E208" s="2">
        <v>51</v>
      </c>
      <c r="F208" s="3">
        <v>27413</v>
      </c>
      <c r="G208" s="2" t="s">
        <v>99</v>
      </c>
      <c r="H208" s="7" t="s">
        <v>100</v>
      </c>
      <c r="I208" s="7" t="str">
        <f>PROPER(Tabela1[[#This Row],[regiao]])</f>
        <v>Norte</v>
      </c>
      <c r="J208" s="8">
        <v>18500</v>
      </c>
      <c r="K208" s="9">
        <v>69500</v>
      </c>
      <c r="L208" s="2" t="s">
        <v>86</v>
      </c>
      <c r="M208" s="2">
        <v>31</v>
      </c>
      <c r="N208" s="2" t="str" cm="1">
        <f t="array" ref="N208">_xlfn.IFS(Tabela1[[#This Row],[qtde_]]="N/A", "N/A",Tabela1[[#This Row],[qtde_]]&lt;11,"BAIXO",Tabela1[[#This Row],[qtde_]]&lt;26,"MÉDIO",Tabela1[[#This Row],[qtde_]]&gt;=26,"ALTO")</f>
        <v>ALTO</v>
      </c>
      <c r="O208" s="12" t="str">
        <f>IF(AND(Tabela1[[#This Row],[nivel_risco]]="ALTO",Tabela1[[#This Row],[flag_inadimplente]] = "Sim"),"negada","aprovada")</f>
        <v>aprovada</v>
      </c>
      <c r="P208" s="12" t="str">
        <f>IF(AND(Tabela1[[#This Row],[credito_tomado]]&gt;50000,Tabela1[[#This Row],[flag_inadimplente]]="Sim"),"negada","aprovada")</f>
        <v>aprovada</v>
      </c>
      <c r="Q208" s="6">
        <v>18000</v>
      </c>
      <c r="R208" s="12" cm="1">
        <f t="array" ref="R20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1440</v>
      </c>
    </row>
    <row r="209" spans="1:18" ht="15.75" customHeight="1" x14ac:dyDescent="0.2">
      <c r="A209" s="2" t="s">
        <v>80</v>
      </c>
      <c r="B209" s="7" t="s">
        <v>483</v>
      </c>
      <c r="C209" s="1">
        <v>19000</v>
      </c>
      <c r="D209" s="1" t="str">
        <f>TEXT(C209,"000\.000\.000\-00")</f>
        <v>000.000.190-00</v>
      </c>
      <c r="E209" s="2">
        <v>42</v>
      </c>
      <c r="F209" s="3">
        <v>30724</v>
      </c>
      <c r="G209" s="2" t="s">
        <v>156</v>
      </c>
      <c r="H209" s="7" t="s">
        <v>113</v>
      </c>
      <c r="I209" s="7" t="str">
        <f>PROPER(Tabela1[[#This Row],[regiao]])</f>
        <v>Norte</v>
      </c>
      <c r="J209" s="8">
        <v>18500</v>
      </c>
      <c r="K209" s="9">
        <v>59000</v>
      </c>
      <c r="L209" s="2" t="s">
        <v>86</v>
      </c>
      <c r="M209" s="2">
        <v>44</v>
      </c>
      <c r="N209" s="2" t="str" cm="1">
        <f t="array" ref="N209">_xlfn.IFS(Tabela1[[#This Row],[qtde_]]="N/A", "N/A",Tabela1[[#This Row],[qtde_]]&lt;11,"BAIXO",Tabela1[[#This Row],[qtde_]]&lt;26,"MÉDIO",Tabela1[[#This Row],[qtde_]]&gt;=26,"ALTO")</f>
        <v>ALTO</v>
      </c>
      <c r="O209" s="12" t="str">
        <f>IF(AND(Tabela1[[#This Row],[nivel_risco]]="ALTO",Tabela1[[#This Row],[flag_inadimplente]] = "Sim"),"negada","aprovada")</f>
        <v>aprovada</v>
      </c>
      <c r="P209" s="12" t="str">
        <f>IF(AND(Tabela1[[#This Row],[credito_tomado]]&gt;50000,Tabela1[[#This Row],[flag_inadimplente]]="Sim"),"negada","aprovada")</f>
        <v>aprovada</v>
      </c>
      <c r="Q209" s="6">
        <v>16500</v>
      </c>
      <c r="R209" s="12" cm="1">
        <f t="array" ref="R20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1320</v>
      </c>
    </row>
    <row r="210" spans="1:18" ht="15.75" customHeight="1" x14ac:dyDescent="0.2">
      <c r="A210" s="2" t="s">
        <v>80</v>
      </c>
      <c r="B210" s="7" t="s">
        <v>484</v>
      </c>
      <c r="C210" s="1">
        <v>4900</v>
      </c>
      <c r="D210" s="1" t="str">
        <f>TEXT(C210,"000\.000\.000\-00")</f>
        <v>000.000.049-00</v>
      </c>
      <c r="E210" s="2">
        <v>18</v>
      </c>
      <c r="F210" s="3">
        <v>39369</v>
      </c>
      <c r="G210" s="2" t="s">
        <v>138</v>
      </c>
      <c r="H210" s="7" t="s">
        <v>148</v>
      </c>
      <c r="I210" s="7" t="str">
        <f>PROPER(Tabela1[[#This Row],[regiao]])</f>
        <v>Essos</v>
      </c>
      <c r="J210" s="8">
        <v>18500</v>
      </c>
      <c r="K210" s="9">
        <v>74500</v>
      </c>
      <c r="L210" s="2" t="s">
        <v>101</v>
      </c>
      <c r="M210" s="2">
        <v>20</v>
      </c>
      <c r="N210" s="2" t="str" cm="1">
        <f t="array" ref="N210">_xlfn.IFS(Tabela1[[#This Row],[qtde_]]="N/A", "N/A",Tabela1[[#This Row],[qtde_]]&lt;11,"BAIXO",Tabela1[[#This Row],[qtde_]]&lt;26,"MÉDIO",Tabela1[[#This Row],[qtde_]]&gt;=26,"ALTO")</f>
        <v>MÉDIO</v>
      </c>
      <c r="O210" s="12" t="str">
        <f>IF(AND(Tabela1[[#This Row],[nivel_risco]]="ALTO",Tabela1[[#This Row],[flag_inadimplente]] = "Sim"),"negada","aprovada")</f>
        <v>aprovada</v>
      </c>
      <c r="P210" s="12" t="str">
        <f>IF(AND(Tabela1[[#This Row],[credito_tomado]]&gt;50000,Tabela1[[#This Row],[flag_inadimplente]]="Sim"),"negada","aprovada")</f>
        <v>negada</v>
      </c>
      <c r="Q210" s="6">
        <v>45500</v>
      </c>
      <c r="R210" s="12" t="e" cm="1">
        <f t="array" ref="R21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11" spans="1:18" ht="15.75" customHeight="1" x14ac:dyDescent="0.2">
      <c r="A211" s="2" t="s">
        <v>80</v>
      </c>
      <c r="B211" s="7" t="s">
        <v>485</v>
      </c>
      <c r="C211" s="1" t="s">
        <v>486</v>
      </c>
      <c r="D211" s="1" t="str">
        <f>TEXT(C211,"000\.000\.000\-00")</f>
        <v>000.000.051-00</v>
      </c>
      <c r="E211" s="2">
        <v>40</v>
      </c>
      <c r="F211" s="3">
        <v>31647</v>
      </c>
      <c r="G211" s="2" t="s">
        <v>99</v>
      </c>
      <c r="H211" s="7" t="s">
        <v>113</v>
      </c>
      <c r="I211" s="7" t="str">
        <f>PROPER(Tabela1[[#This Row],[regiao]])</f>
        <v>Norte</v>
      </c>
      <c r="J211" s="8">
        <v>18700</v>
      </c>
      <c r="K211" s="9">
        <v>15000</v>
      </c>
      <c r="L211" s="2" t="s">
        <v>83</v>
      </c>
      <c r="M211" s="2">
        <v>26</v>
      </c>
      <c r="N211" s="2" t="str" cm="1">
        <f t="array" ref="N211">_xlfn.IFS(Tabela1[[#This Row],[qtde_]]="N/A", "N/A",Tabela1[[#This Row],[qtde_]]&lt;11,"BAIXO",Tabela1[[#This Row],[qtde_]]&lt;26,"MÉDIO",Tabela1[[#This Row],[qtde_]]&gt;=26,"ALTO")</f>
        <v>ALTO</v>
      </c>
      <c r="O211" s="12" t="str">
        <f>IF(AND(Tabela1[[#This Row],[nivel_risco]]="ALTO",Tabela1[[#This Row],[flag_inadimplente]] = "Sim"),"negada","aprovada")</f>
        <v>aprovada</v>
      </c>
      <c r="P211" s="12" t="str">
        <f>IF(AND(Tabela1[[#This Row],[credito_tomado]]&gt;50000,Tabela1[[#This Row],[flag_inadimplente]]="Sim"),"negada","aprovada")</f>
        <v>aprovada</v>
      </c>
      <c r="Q211" s="6">
        <v>89500</v>
      </c>
      <c r="R211" s="12" t="str" cm="1">
        <f t="array" ref="R21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12" spans="1:18" ht="15.75" customHeight="1" x14ac:dyDescent="0.2">
      <c r="A212" s="2" t="s">
        <v>80</v>
      </c>
      <c r="B212" s="7" t="s">
        <v>487</v>
      </c>
      <c r="C212" s="1" t="s">
        <v>488</v>
      </c>
      <c r="D212" s="1" t="str">
        <f>TEXT(C212,"000\.000\.000\-00")</f>
        <v>000.000.149-00</v>
      </c>
      <c r="E212" s="2">
        <v>54</v>
      </c>
      <c r="F212" s="3">
        <v>26230</v>
      </c>
      <c r="G212" s="2" t="s">
        <v>99</v>
      </c>
      <c r="H212" s="7" t="s">
        <v>100</v>
      </c>
      <c r="I212" s="7" t="str">
        <f>PROPER(Tabela1[[#This Row],[regiao]])</f>
        <v>Norte</v>
      </c>
      <c r="J212" s="8">
        <v>18700</v>
      </c>
      <c r="K212" s="9">
        <v>46000</v>
      </c>
      <c r="L212" s="2" t="s">
        <v>101</v>
      </c>
      <c r="M212" s="2">
        <v>4</v>
      </c>
      <c r="N212" s="2" t="str" cm="1">
        <f t="array" ref="N212">_xlfn.IFS(Tabela1[[#This Row],[qtde_]]="N/A", "N/A",Tabela1[[#This Row],[qtde_]]&lt;11,"BAIXO",Tabela1[[#This Row],[qtde_]]&lt;26,"MÉDIO",Tabela1[[#This Row],[qtde_]]&gt;=26,"ALTO")</f>
        <v>BAIXO</v>
      </c>
      <c r="O212" s="12" t="str">
        <f>IF(AND(Tabela1[[#This Row],[nivel_risco]]="ALTO",Tabela1[[#This Row],[flag_inadimplente]] = "Sim"),"negada","aprovada")</f>
        <v>aprovada</v>
      </c>
      <c r="P212" s="12" t="str">
        <f>IF(AND(Tabela1[[#This Row],[credito_tomado]]&gt;50000,Tabela1[[#This Row],[flag_inadimplente]]="Sim"),"negada","aprovada")</f>
        <v>aprovada</v>
      </c>
      <c r="Q212" s="6">
        <v>27500</v>
      </c>
      <c r="R212" s="12" cm="1">
        <f t="array" ref="R21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2200</v>
      </c>
    </row>
    <row r="213" spans="1:18" ht="15.75" customHeight="1" x14ac:dyDescent="0.2">
      <c r="A213" s="2" t="s">
        <v>80</v>
      </c>
      <c r="B213" s="7" t="s">
        <v>489</v>
      </c>
      <c r="C213" s="1" t="s">
        <v>490</v>
      </c>
      <c r="D213" s="1" t="str">
        <f>TEXT(C213,"000\.000\.000\-00")</f>
        <v>000.000.060-00</v>
      </c>
      <c r="E213" s="2">
        <v>48</v>
      </c>
      <c r="F213" s="3">
        <v>28689</v>
      </c>
      <c r="G213" s="2" t="s">
        <v>104</v>
      </c>
      <c r="H213" s="7" t="s">
        <v>105</v>
      </c>
      <c r="I213" s="7" t="str">
        <f>PROPER(Tabela1[[#This Row],[regiao]])</f>
        <v>Terras Da Tempestade</v>
      </c>
      <c r="J213" s="8">
        <v>18700</v>
      </c>
      <c r="K213" s="9">
        <v>11000</v>
      </c>
      <c r="L213" s="2" t="s">
        <v>86</v>
      </c>
      <c r="M213" s="2">
        <v>28</v>
      </c>
      <c r="N213" s="2" t="str" cm="1">
        <f t="array" ref="N213">_xlfn.IFS(Tabela1[[#This Row],[qtde_]]="N/A", "N/A",Tabela1[[#This Row],[qtde_]]&lt;11,"BAIXO",Tabela1[[#This Row],[qtde_]]&lt;26,"MÉDIO",Tabela1[[#This Row],[qtde_]]&gt;=26,"ALTO")</f>
        <v>ALTO</v>
      </c>
      <c r="O213" s="12" t="str">
        <f>IF(AND(Tabela1[[#This Row],[nivel_risco]]="ALTO",Tabela1[[#This Row],[flag_inadimplente]] = "Sim"),"negada","aprovada")</f>
        <v>aprovada</v>
      </c>
      <c r="P213" s="12" t="str">
        <f>IF(AND(Tabela1[[#This Row],[credito_tomado]]&gt;50000,Tabela1[[#This Row],[flag_inadimplente]]="Sim"),"negada","aprovada")</f>
        <v>aprovada</v>
      </c>
      <c r="Q213" s="6">
        <v>18000</v>
      </c>
      <c r="R213" s="12" cm="1">
        <f t="array" ref="R21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1440</v>
      </c>
    </row>
    <row r="214" spans="1:18" ht="15.75" customHeight="1" x14ac:dyDescent="0.2">
      <c r="A214" s="2" t="s">
        <v>80</v>
      </c>
      <c r="B214" s="7" t="s">
        <v>491</v>
      </c>
      <c r="C214" s="1" t="s">
        <v>492</v>
      </c>
      <c r="D214" s="1" t="str">
        <f>TEXT(C214,"000\.000\.000\-00")</f>
        <v>000.000.081-00</v>
      </c>
      <c r="E214" s="2">
        <v>59</v>
      </c>
      <c r="F214" s="3">
        <v>24362</v>
      </c>
      <c r="G214" s="2" t="s">
        <v>267</v>
      </c>
      <c r="H214" s="7" t="s">
        <v>113</v>
      </c>
      <c r="I214" s="7" t="str">
        <f>PROPER(Tabela1[[#This Row],[regiao]])</f>
        <v>Norte</v>
      </c>
      <c r="J214" s="8">
        <v>18900</v>
      </c>
      <c r="K214" s="9">
        <v>1000</v>
      </c>
      <c r="L214" s="2" t="s">
        <v>101</v>
      </c>
      <c r="M214" s="2">
        <v>42</v>
      </c>
      <c r="N214" s="2" t="str" cm="1">
        <f t="array" ref="N214">_xlfn.IFS(Tabela1[[#This Row],[qtde_]]="N/A", "N/A",Tabela1[[#This Row],[qtde_]]&lt;11,"BAIXO",Tabela1[[#This Row],[qtde_]]&lt;26,"MÉDIO",Tabela1[[#This Row],[qtde_]]&gt;=26,"ALTO")</f>
        <v>ALTO</v>
      </c>
      <c r="O214" s="12" t="str">
        <f>IF(AND(Tabela1[[#This Row],[nivel_risco]]="ALTO",Tabela1[[#This Row],[flag_inadimplente]] = "Sim"),"negada","aprovada")</f>
        <v>negada</v>
      </c>
      <c r="P214" s="12" t="str">
        <f>IF(AND(Tabela1[[#This Row],[credito_tomado]]&gt;50000,Tabela1[[#This Row],[flag_inadimplente]]="Sim"),"negada","aprovada")</f>
        <v>aprovada</v>
      </c>
      <c r="Q214" s="6">
        <v>16500</v>
      </c>
      <c r="R214" s="12" t="e" cm="1">
        <f t="array" ref="R21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15" spans="1:18" ht="15.75" customHeight="1" x14ac:dyDescent="0.2">
      <c r="A215" s="2" t="s">
        <v>96</v>
      </c>
      <c r="B215" s="7" t="s">
        <v>493</v>
      </c>
      <c r="C215" s="1">
        <v>6900</v>
      </c>
      <c r="D215" s="1" t="str">
        <f>TEXT(C215,"000\.000\.000\-00")</f>
        <v>000.000.069-00</v>
      </c>
      <c r="E215" s="2">
        <v>51</v>
      </c>
      <c r="F215" s="3">
        <v>27590</v>
      </c>
      <c r="G215" s="2" t="s">
        <v>112</v>
      </c>
      <c r="H215" s="7" t="s">
        <v>113</v>
      </c>
      <c r="I215" s="7" t="str">
        <f>PROPER(Tabela1[[#This Row],[regiao]])</f>
        <v>Norte</v>
      </c>
      <c r="J215" s="8">
        <v>19400</v>
      </c>
      <c r="K215" s="9">
        <v>4000</v>
      </c>
      <c r="L215" s="2" t="s">
        <v>86</v>
      </c>
      <c r="M215" s="2">
        <v>30</v>
      </c>
      <c r="N215" s="2" t="str" cm="1">
        <f t="array" ref="N215">_xlfn.IFS(Tabela1[[#This Row],[qtde_]]="N/A", "N/A",Tabela1[[#This Row],[qtde_]]&lt;11,"BAIXO",Tabela1[[#This Row],[qtde_]]&lt;26,"MÉDIO",Tabela1[[#This Row],[qtde_]]&gt;=26,"ALTO")</f>
        <v>ALTO</v>
      </c>
      <c r="O215" s="12" t="str">
        <f>IF(AND(Tabela1[[#This Row],[nivel_risco]]="ALTO",Tabela1[[#This Row],[flag_inadimplente]] = "Sim"),"negada","aprovada")</f>
        <v>aprovada</v>
      </c>
      <c r="P215" s="12" t="str">
        <f>IF(AND(Tabela1[[#This Row],[credito_tomado]]&gt;50000,Tabela1[[#This Row],[flag_inadimplente]]="Sim"),"negada","aprovada")</f>
        <v>aprovada</v>
      </c>
      <c r="Q215" s="6">
        <v>38500</v>
      </c>
      <c r="R215" s="12" t="e" cm="1">
        <f t="array" ref="R21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16" spans="1:18" ht="15.75" customHeight="1" x14ac:dyDescent="0.2">
      <c r="A216" s="2" t="s">
        <v>80</v>
      </c>
      <c r="B216" s="7" t="s">
        <v>494</v>
      </c>
      <c r="C216" s="1">
        <v>35800</v>
      </c>
      <c r="D216" s="1" t="str">
        <f>TEXT(C216,"000\.000\.000\-00")</f>
        <v>000.000.358-00</v>
      </c>
      <c r="E216" s="2">
        <v>70</v>
      </c>
      <c r="F216" s="3">
        <v>20515</v>
      </c>
      <c r="G216" s="2" t="s">
        <v>124</v>
      </c>
      <c r="H216" s="7" t="s">
        <v>139</v>
      </c>
      <c r="I216" s="7" t="str">
        <f>PROPER(Tabela1[[#This Row],[regiao]])</f>
        <v>Essos</v>
      </c>
      <c r="J216" s="8">
        <v>19500</v>
      </c>
      <c r="K216" s="9">
        <v>62000</v>
      </c>
      <c r="L216" s="2" t="s">
        <v>101</v>
      </c>
      <c r="M216" s="2">
        <v>45</v>
      </c>
      <c r="N216" s="2" t="str" cm="1">
        <f t="array" ref="N216">_xlfn.IFS(Tabela1[[#This Row],[qtde_]]="N/A", "N/A",Tabela1[[#This Row],[qtde_]]&lt;11,"BAIXO",Tabela1[[#This Row],[qtde_]]&lt;26,"MÉDIO",Tabela1[[#This Row],[qtde_]]&gt;=26,"ALTO")</f>
        <v>ALTO</v>
      </c>
      <c r="O216" s="12" t="str">
        <f>IF(AND(Tabela1[[#This Row],[nivel_risco]]="ALTO",Tabela1[[#This Row],[flag_inadimplente]] = "Sim"),"negada","aprovada")</f>
        <v>negada</v>
      </c>
      <c r="P216" s="12" t="str">
        <f>IF(AND(Tabela1[[#This Row],[credito_tomado]]&gt;50000,Tabela1[[#This Row],[flag_inadimplente]]="Sim"),"negada","aprovada")</f>
        <v>negada</v>
      </c>
      <c r="Q216" s="6">
        <v>35500</v>
      </c>
      <c r="R216" s="12" t="str" cm="1">
        <f t="array" ref="R21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17" spans="1:18" ht="15.75" customHeight="1" x14ac:dyDescent="0.2">
      <c r="A217" s="2" t="s">
        <v>80</v>
      </c>
      <c r="B217" s="7" t="s">
        <v>495</v>
      </c>
      <c r="C217" s="1" t="s">
        <v>348</v>
      </c>
      <c r="D217" s="1" t="str">
        <f>TEXT(C217,"000\.000\.000\-00")</f>
        <v>000.000.139-00</v>
      </c>
      <c r="E217" s="2">
        <v>38</v>
      </c>
      <c r="F217" s="3">
        <v>32166</v>
      </c>
      <c r="G217" s="2" t="s">
        <v>112</v>
      </c>
      <c r="H217" s="7" t="s">
        <v>157</v>
      </c>
      <c r="I217" s="7" t="str">
        <f>PROPER(Tabela1[[#This Row],[regiao]])</f>
        <v>Norte</v>
      </c>
      <c r="J217" s="8">
        <v>19500</v>
      </c>
      <c r="K217" s="9">
        <v>39000</v>
      </c>
      <c r="L217" s="2" t="s">
        <v>86</v>
      </c>
      <c r="M217" s="2">
        <v>25</v>
      </c>
      <c r="N217" s="2" t="str" cm="1">
        <f t="array" ref="N217">_xlfn.IFS(Tabela1[[#This Row],[qtde_]]="N/A", "N/A",Tabela1[[#This Row],[qtde_]]&lt;11,"BAIXO",Tabela1[[#This Row],[qtde_]]&lt;26,"MÉDIO",Tabela1[[#This Row],[qtde_]]&gt;=26,"ALTO")</f>
        <v>MÉDIO</v>
      </c>
      <c r="O217" s="12" t="str">
        <f>IF(AND(Tabela1[[#This Row],[nivel_risco]]="ALTO",Tabela1[[#This Row],[flag_inadimplente]] = "Sim"),"negada","aprovada")</f>
        <v>aprovada</v>
      </c>
      <c r="P217" s="12" t="str">
        <f>IF(AND(Tabela1[[#This Row],[credito_tomado]]&gt;50000,Tabela1[[#This Row],[flag_inadimplente]]="Sim"),"negada","aprovada")</f>
        <v>aprovada</v>
      </c>
      <c r="Q217" s="6">
        <v>88500</v>
      </c>
      <c r="R217" s="12" cm="1">
        <f t="array" ref="R21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7080</v>
      </c>
    </row>
    <row r="218" spans="1:18" ht="15.75" customHeight="1" x14ac:dyDescent="0.2">
      <c r="A218" s="2" t="s">
        <v>80</v>
      </c>
      <c r="B218" s="7" t="s">
        <v>496</v>
      </c>
      <c r="C218" s="1">
        <v>13200</v>
      </c>
      <c r="D218" s="1" t="str">
        <f>TEXT(C218,"000\.000\.000\-00")</f>
        <v>000.000.132-00</v>
      </c>
      <c r="E218" s="2">
        <v>29</v>
      </c>
      <c r="F218" s="3">
        <v>35334</v>
      </c>
      <c r="G218" s="2" t="s">
        <v>94</v>
      </c>
      <c r="H218" s="7" t="s">
        <v>162</v>
      </c>
      <c r="I218" s="7" t="str">
        <f>PROPER(Tabela1[[#This Row],[regiao]])</f>
        <v>Ilhas De Ferro</v>
      </c>
      <c r="J218" s="8">
        <v>19500</v>
      </c>
      <c r="K218" s="9">
        <v>57000</v>
      </c>
      <c r="L218" s="2" t="s">
        <v>86</v>
      </c>
      <c r="M218" s="2">
        <v>12</v>
      </c>
      <c r="N218" s="2" t="str" cm="1">
        <f t="array" ref="N218">_xlfn.IFS(Tabela1[[#This Row],[qtde_]]="N/A", "N/A",Tabela1[[#This Row],[qtde_]]&lt;11,"BAIXO",Tabela1[[#This Row],[qtde_]]&lt;26,"MÉDIO",Tabela1[[#This Row],[qtde_]]&gt;=26,"ALTO")</f>
        <v>MÉDIO</v>
      </c>
      <c r="O218" s="12" t="str">
        <f>IF(AND(Tabela1[[#This Row],[nivel_risco]]="ALTO",Tabela1[[#This Row],[flag_inadimplente]] = "Sim"),"negada","aprovada")</f>
        <v>aprovada</v>
      </c>
      <c r="P218" s="12" t="str">
        <f>IF(AND(Tabela1[[#This Row],[credito_tomado]]&gt;50000,Tabela1[[#This Row],[flag_inadimplente]]="Sim"),"negada","aprovada")</f>
        <v>aprovada</v>
      </c>
      <c r="Q218" s="6">
        <v>20500</v>
      </c>
      <c r="R218" s="12" cm="1">
        <f t="array" ref="R21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1640</v>
      </c>
    </row>
    <row r="219" spans="1:18" ht="15.75" customHeight="1" x14ac:dyDescent="0.2">
      <c r="A219" s="2" t="s">
        <v>96</v>
      </c>
      <c r="B219" s="7" t="s">
        <v>497</v>
      </c>
      <c r="C219" s="1" t="s">
        <v>498</v>
      </c>
      <c r="D219" s="1" t="str">
        <f>TEXT(C219,"000\.000\.000\-00")</f>
        <v>000.000.245-00</v>
      </c>
      <c r="E219" s="2">
        <v>65</v>
      </c>
      <c r="F219" s="3">
        <v>22205</v>
      </c>
      <c r="G219" s="2" t="s">
        <v>112</v>
      </c>
      <c r="H219" s="7" t="s">
        <v>113</v>
      </c>
      <c r="I219" s="7" t="str">
        <f>PROPER(Tabela1[[#This Row],[regiao]])</f>
        <v>Norte</v>
      </c>
      <c r="J219" s="8">
        <v>19800</v>
      </c>
      <c r="K219" s="9">
        <v>78500</v>
      </c>
      <c r="L219" s="2" t="s">
        <v>86</v>
      </c>
      <c r="M219" s="2">
        <v>34</v>
      </c>
      <c r="N219" s="2" t="str" cm="1">
        <f t="array" ref="N219">_xlfn.IFS(Tabela1[[#This Row],[qtde_]]="N/A", "N/A",Tabela1[[#This Row],[qtde_]]&lt;11,"BAIXO",Tabela1[[#This Row],[qtde_]]&lt;26,"MÉDIO",Tabela1[[#This Row],[qtde_]]&gt;=26,"ALTO")</f>
        <v>ALTO</v>
      </c>
      <c r="O219" s="12" t="str">
        <f>IF(AND(Tabela1[[#This Row],[nivel_risco]]="ALTO",Tabela1[[#This Row],[flag_inadimplente]] = "Sim"),"negada","aprovada")</f>
        <v>aprovada</v>
      </c>
      <c r="P219" s="12" t="str">
        <f>IF(AND(Tabela1[[#This Row],[credito_tomado]]&gt;50000,Tabela1[[#This Row],[flag_inadimplente]]="Sim"),"negada","aprovada")</f>
        <v>aprovada</v>
      </c>
      <c r="Q219" s="6">
        <v>23000</v>
      </c>
      <c r="R219" s="12" t="e" cm="1">
        <f t="array" ref="R21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20" spans="1:18" ht="15.75" customHeight="1" x14ac:dyDescent="0.2">
      <c r="A220" s="2" t="s">
        <v>80</v>
      </c>
      <c r="B220" s="7" t="s">
        <v>499</v>
      </c>
      <c r="C220" s="1">
        <v>6300</v>
      </c>
      <c r="D220" s="1" t="str">
        <f>TEXT(C220,"000\.000\.000\-00")</f>
        <v>000.000.063-00</v>
      </c>
      <c r="E220" s="2">
        <v>68</v>
      </c>
      <c r="F220" s="3" t="s">
        <v>83</v>
      </c>
      <c r="G220" s="2" t="s">
        <v>215</v>
      </c>
      <c r="H220" s="7" t="s">
        <v>90</v>
      </c>
      <c r="I220" s="7" t="str">
        <f>PROPER(Tabela1[[#This Row],[regiao]])</f>
        <v>Terras Da Coroa</v>
      </c>
      <c r="J220" s="8">
        <v>19900</v>
      </c>
      <c r="K220" s="9">
        <v>35000</v>
      </c>
      <c r="L220" s="2" t="s">
        <v>86</v>
      </c>
      <c r="M220" s="2">
        <v>25</v>
      </c>
      <c r="N220" s="2" t="str" cm="1">
        <f t="array" ref="N220">_xlfn.IFS(Tabela1[[#This Row],[qtde_]]="N/A", "N/A",Tabela1[[#This Row],[qtde_]]&lt;11,"BAIXO",Tabela1[[#This Row],[qtde_]]&lt;26,"MÉDIO",Tabela1[[#This Row],[qtde_]]&gt;=26,"ALTO")</f>
        <v>MÉDIO</v>
      </c>
      <c r="O220" s="12" t="str">
        <f>IF(AND(Tabela1[[#This Row],[nivel_risco]]="ALTO",Tabela1[[#This Row],[flag_inadimplente]] = "Sim"),"negada","aprovada")</f>
        <v>aprovada</v>
      </c>
      <c r="P220" s="12" t="str">
        <f>IF(AND(Tabela1[[#This Row],[credito_tomado]]&gt;50000,Tabela1[[#This Row],[flag_inadimplente]]="Sim"),"negada","aprovada")</f>
        <v>aprovada</v>
      </c>
      <c r="Q220" s="6">
        <v>59500</v>
      </c>
      <c r="R220" s="12" cm="1">
        <f t="array" ref="R22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4760</v>
      </c>
    </row>
    <row r="221" spans="1:18" ht="15.75" customHeight="1" x14ac:dyDescent="0.2">
      <c r="A221" s="2" t="s">
        <v>80</v>
      </c>
      <c r="B221" s="7" t="s">
        <v>500</v>
      </c>
      <c r="C221" s="1">
        <v>18000</v>
      </c>
      <c r="D221" s="1" t="str">
        <f>TEXT(C221,"000\.000\.000\-00")</f>
        <v>000.000.180-00</v>
      </c>
      <c r="E221" s="2">
        <v>29</v>
      </c>
      <c r="F221" s="3">
        <v>35344</v>
      </c>
      <c r="G221" s="2" t="s">
        <v>144</v>
      </c>
      <c r="H221" s="7" t="s">
        <v>177</v>
      </c>
      <c r="I221" s="7" t="str">
        <f>PROPER(Tabela1[[#This Row],[regiao]])</f>
        <v>Vale</v>
      </c>
      <c r="J221" s="8">
        <v>19900</v>
      </c>
      <c r="K221" s="9">
        <v>49500</v>
      </c>
      <c r="L221" s="2" t="s">
        <v>101</v>
      </c>
      <c r="M221" s="2">
        <v>27</v>
      </c>
      <c r="N221" s="2" t="str" cm="1">
        <f t="array" ref="N221">_xlfn.IFS(Tabela1[[#This Row],[qtde_]]="N/A", "N/A",Tabela1[[#This Row],[qtde_]]&lt;11,"BAIXO",Tabela1[[#This Row],[qtde_]]&lt;26,"MÉDIO",Tabela1[[#This Row],[qtde_]]&gt;=26,"ALTO")</f>
        <v>ALTO</v>
      </c>
      <c r="O221" s="12" t="str">
        <f>IF(AND(Tabela1[[#This Row],[nivel_risco]]="ALTO",Tabela1[[#This Row],[flag_inadimplente]] = "Sim"),"negada","aprovada")</f>
        <v>negada</v>
      </c>
      <c r="P221" s="12" t="str">
        <f>IF(AND(Tabela1[[#This Row],[credito_tomado]]&gt;50000,Tabela1[[#This Row],[flag_inadimplente]]="Sim"),"negada","aprovada")</f>
        <v>aprovada</v>
      </c>
      <c r="Q221" s="6">
        <v>23000</v>
      </c>
      <c r="R221" s="12" t="e" cm="1">
        <f t="array" ref="R22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22" spans="1:18" ht="15.75" customHeight="1" x14ac:dyDescent="0.2">
      <c r="A222" s="2" t="s">
        <v>80</v>
      </c>
      <c r="B222" s="7" t="s">
        <v>462</v>
      </c>
      <c r="C222" s="1" t="s">
        <v>501</v>
      </c>
      <c r="D222" s="1" t="str">
        <f>TEXT(C222,"000\.000\.000\-00")</f>
        <v>000.000.006-00</v>
      </c>
      <c r="E222" s="2">
        <v>59</v>
      </c>
      <c r="F222" s="3">
        <v>24710</v>
      </c>
      <c r="G222" s="2" t="s">
        <v>153</v>
      </c>
      <c r="H222" s="7" t="s">
        <v>141</v>
      </c>
      <c r="I222" s="7" t="str">
        <f>PROPER(Tabela1[[#This Row],[regiao]])</f>
        <v>Terras Fluviais</v>
      </c>
      <c r="J222" s="8">
        <v>19900</v>
      </c>
      <c r="K222" s="9">
        <v>55000</v>
      </c>
      <c r="L222" s="2" t="s">
        <v>86</v>
      </c>
      <c r="M222" s="2">
        <v>26</v>
      </c>
      <c r="N222" s="2" t="str" cm="1">
        <f t="array" ref="N222">_xlfn.IFS(Tabela1[[#This Row],[qtde_]]="N/A", "N/A",Tabela1[[#This Row],[qtde_]]&lt;11,"BAIXO",Tabela1[[#This Row],[qtde_]]&lt;26,"MÉDIO",Tabela1[[#This Row],[qtde_]]&gt;=26,"ALTO")</f>
        <v>ALTO</v>
      </c>
      <c r="O222" s="12" t="str">
        <f>IF(AND(Tabela1[[#This Row],[nivel_risco]]="ALTO",Tabela1[[#This Row],[flag_inadimplente]] = "Sim"),"negada","aprovada")</f>
        <v>aprovada</v>
      </c>
      <c r="P222" s="12" t="str">
        <f>IF(AND(Tabela1[[#This Row],[credito_tomado]]&gt;50000,Tabela1[[#This Row],[flag_inadimplente]]="Sim"),"negada","aprovada")</f>
        <v>aprovada</v>
      </c>
      <c r="Q222" s="6">
        <v>100000</v>
      </c>
      <c r="R222" s="12" cm="1">
        <f t="array" ref="R22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8000</v>
      </c>
    </row>
    <row r="223" spans="1:18" ht="15.75" customHeight="1" x14ac:dyDescent="0.2">
      <c r="A223" s="2" t="s">
        <v>96</v>
      </c>
      <c r="B223" s="7" t="s">
        <v>502</v>
      </c>
      <c r="C223" s="1" t="s">
        <v>503</v>
      </c>
      <c r="D223" s="1" t="str">
        <f>TEXT(C223,"000\.000\.000\-00")</f>
        <v>000.000.345-00</v>
      </c>
      <c r="E223" s="2">
        <v>73</v>
      </c>
      <c r="F223" s="3" t="s">
        <v>83</v>
      </c>
      <c r="G223" s="2" t="s">
        <v>112</v>
      </c>
      <c r="H223" s="7" t="s">
        <v>113</v>
      </c>
      <c r="I223" s="7" t="str">
        <f>PROPER(Tabela1[[#This Row],[regiao]])</f>
        <v>Norte</v>
      </c>
      <c r="J223" s="8">
        <v>19900</v>
      </c>
      <c r="K223" s="9">
        <v>47000</v>
      </c>
      <c r="L223" s="2" t="s">
        <v>86</v>
      </c>
      <c r="M223" s="2">
        <v>19</v>
      </c>
      <c r="N223" s="2" t="str" cm="1">
        <f t="array" ref="N223">_xlfn.IFS(Tabela1[[#This Row],[qtde_]]="N/A", "N/A",Tabela1[[#This Row],[qtde_]]&lt;11,"BAIXO",Tabela1[[#This Row],[qtde_]]&lt;26,"MÉDIO",Tabela1[[#This Row],[qtde_]]&gt;=26,"ALTO")</f>
        <v>MÉDIO</v>
      </c>
      <c r="O223" s="12" t="str">
        <f>IF(AND(Tabela1[[#This Row],[nivel_risco]]="ALTO",Tabela1[[#This Row],[flag_inadimplente]] = "Sim"),"negada","aprovada")</f>
        <v>aprovada</v>
      </c>
      <c r="P223" s="12" t="str">
        <f>IF(AND(Tabela1[[#This Row],[credito_tomado]]&gt;50000,Tabela1[[#This Row],[flag_inadimplente]]="Sim"),"negada","aprovada")</f>
        <v>aprovada</v>
      </c>
      <c r="Q223" s="6">
        <v>20500</v>
      </c>
      <c r="R223" s="12" t="e" cm="1">
        <f t="array" ref="R22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24" spans="1:18" ht="15.75" customHeight="1" x14ac:dyDescent="0.2">
      <c r="A224" s="2" t="s">
        <v>80</v>
      </c>
      <c r="B224" s="7" t="s">
        <v>504</v>
      </c>
      <c r="C224" s="1" t="s">
        <v>505</v>
      </c>
      <c r="D224" s="1" t="str">
        <f>TEXT(C224,"000\.000\.000\-00")</f>
        <v>000.000.136-00</v>
      </c>
      <c r="E224" s="2">
        <v>41</v>
      </c>
      <c r="F224" s="3">
        <v>30944</v>
      </c>
      <c r="G224" s="2" t="s">
        <v>104</v>
      </c>
      <c r="H224" s="7" t="s">
        <v>105</v>
      </c>
      <c r="I224" s="7" t="str">
        <f>PROPER(Tabela1[[#This Row],[regiao]])</f>
        <v>Terras Da Tempestade</v>
      </c>
      <c r="J224" s="8">
        <v>20000</v>
      </c>
      <c r="K224" s="9">
        <v>20500</v>
      </c>
      <c r="L224" s="2" t="s">
        <v>101</v>
      </c>
      <c r="M224" s="2">
        <v>8</v>
      </c>
      <c r="N224" s="2" t="str" cm="1">
        <f t="array" ref="N224">_xlfn.IFS(Tabela1[[#This Row],[qtde_]]="N/A", "N/A",Tabela1[[#This Row],[qtde_]]&lt;11,"BAIXO",Tabela1[[#This Row],[qtde_]]&lt;26,"MÉDIO",Tabela1[[#This Row],[qtde_]]&gt;=26,"ALTO")</f>
        <v>BAIXO</v>
      </c>
      <c r="O224" s="12" t="str">
        <f>IF(AND(Tabela1[[#This Row],[nivel_risco]]="ALTO",Tabela1[[#This Row],[flag_inadimplente]] = "Sim"),"negada","aprovada")</f>
        <v>aprovada</v>
      </c>
      <c r="P224" s="12" t="str">
        <f>IF(AND(Tabela1[[#This Row],[credito_tomado]]&gt;50000,Tabela1[[#This Row],[flag_inadimplente]]="Sim"),"negada","aprovada")</f>
        <v>aprovada</v>
      </c>
      <c r="Q224" s="6">
        <v>44000</v>
      </c>
      <c r="R224" s="12" cm="1">
        <f t="array" ref="R22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3520</v>
      </c>
    </row>
    <row r="225" spans="1:18" ht="15.75" customHeight="1" x14ac:dyDescent="0.2">
      <c r="A225" s="2" t="s">
        <v>96</v>
      </c>
      <c r="B225" s="7" t="s">
        <v>506</v>
      </c>
      <c r="C225" s="1" t="s">
        <v>507</v>
      </c>
      <c r="D225" s="1" t="str">
        <f>TEXT(C225,"000\.000\.000\-00")</f>
        <v>000.000.087-00</v>
      </c>
      <c r="E225" s="2">
        <v>63</v>
      </c>
      <c r="F225" s="3">
        <v>22994</v>
      </c>
      <c r="G225" s="2" t="s">
        <v>94</v>
      </c>
      <c r="H225" s="7" t="s">
        <v>381</v>
      </c>
      <c r="I225" s="7" t="str">
        <f>PROPER(Tabela1[[#This Row],[regiao]])</f>
        <v>Ilhas De Ferro</v>
      </c>
      <c r="J225" s="8">
        <v>20000</v>
      </c>
      <c r="K225" s="9">
        <v>29500</v>
      </c>
      <c r="L225" s="2" t="s">
        <v>86</v>
      </c>
      <c r="M225" s="2">
        <v>42</v>
      </c>
      <c r="N225" s="2" t="str" cm="1">
        <f t="array" ref="N225">_xlfn.IFS(Tabela1[[#This Row],[qtde_]]="N/A", "N/A",Tabela1[[#This Row],[qtde_]]&lt;11,"BAIXO",Tabela1[[#This Row],[qtde_]]&lt;26,"MÉDIO",Tabela1[[#This Row],[qtde_]]&gt;=26,"ALTO")</f>
        <v>ALTO</v>
      </c>
      <c r="O225" s="12" t="str">
        <f>IF(AND(Tabela1[[#This Row],[nivel_risco]]="ALTO",Tabela1[[#This Row],[flag_inadimplente]] = "Sim"),"negada","aprovada")</f>
        <v>aprovada</v>
      </c>
      <c r="P225" s="12" t="str">
        <f>IF(AND(Tabela1[[#This Row],[credito_tomado]]&gt;50000,Tabela1[[#This Row],[flag_inadimplente]]="Sim"),"negada","aprovada")</f>
        <v>aprovada</v>
      </c>
      <c r="Q225" s="6">
        <v>5000</v>
      </c>
      <c r="R225" s="12" t="e" cm="1">
        <f t="array" ref="R22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26" spans="1:18" ht="15.75" customHeight="1" x14ac:dyDescent="0.2">
      <c r="A226" s="2" t="s">
        <v>96</v>
      </c>
      <c r="B226" s="7" t="s">
        <v>508</v>
      </c>
      <c r="C226" s="1" t="s">
        <v>509</v>
      </c>
      <c r="D226" s="1" t="str">
        <f>TEXT(C226,"000\.000\.000\-00")</f>
        <v>000.000.061-00</v>
      </c>
      <c r="E226" s="2">
        <v>58</v>
      </c>
      <c r="F226" s="3">
        <v>24726</v>
      </c>
      <c r="G226" s="2" t="s">
        <v>138</v>
      </c>
      <c r="H226" s="7" t="s">
        <v>139</v>
      </c>
      <c r="I226" s="7" t="str">
        <f>PROPER(Tabela1[[#This Row],[regiao]])</f>
        <v>Essos</v>
      </c>
      <c r="J226" s="8">
        <v>20100</v>
      </c>
      <c r="K226" s="9">
        <v>40000</v>
      </c>
      <c r="L226" s="2" t="s">
        <v>86</v>
      </c>
      <c r="M226" s="2">
        <v>16</v>
      </c>
      <c r="N226" s="2" t="str" cm="1">
        <f t="array" ref="N226">_xlfn.IFS(Tabela1[[#This Row],[qtde_]]="N/A", "N/A",Tabela1[[#This Row],[qtde_]]&lt;11,"BAIXO",Tabela1[[#This Row],[qtde_]]&lt;26,"MÉDIO",Tabela1[[#This Row],[qtde_]]&gt;=26,"ALTO")</f>
        <v>MÉDIO</v>
      </c>
      <c r="O226" s="12" t="str">
        <f>IF(AND(Tabela1[[#This Row],[nivel_risco]]="ALTO",Tabela1[[#This Row],[flag_inadimplente]] = "Sim"),"negada","aprovada")</f>
        <v>aprovada</v>
      </c>
      <c r="P226" s="12" t="str">
        <f>IF(AND(Tabela1[[#This Row],[credito_tomado]]&gt;50000,Tabela1[[#This Row],[flag_inadimplente]]="Sim"),"negada","aprovada")</f>
        <v>aprovada</v>
      </c>
      <c r="Q226" s="6">
        <v>98500</v>
      </c>
      <c r="R226" s="12" t="e" cm="1">
        <f t="array" ref="R22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27" spans="1:18" ht="15.75" customHeight="1" x14ac:dyDescent="0.2">
      <c r="A227" s="2" t="s">
        <v>80</v>
      </c>
      <c r="B227" s="7" t="s">
        <v>510</v>
      </c>
      <c r="C227" s="1" t="s">
        <v>511</v>
      </c>
      <c r="D227" s="1" t="str">
        <f>TEXT(C227,"000\.000\.000\-00")</f>
        <v>000.000.201-00</v>
      </c>
      <c r="E227" s="2" t="s">
        <v>83</v>
      </c>
      <c r="F227" s="3">
        <v>25925</v>
      </c>
      <c r="G227" s="2" t="s">
        <v>94</v>
      </c>
      <c r="H227" s="7" t="s">
        <v>95</v>
      </c>
      <c r="I227" s="7" t="str">
        <f>PROPER(Tabela1[[#This Row],[regiao]])</f>
        <v>Ilhas De Ferro</v>
      </c>
      <c r="J227" s="8">
        <v>20200</v>
      </c>
      <c r="K227" s="9">
        <v>61000</v>
      </c>
      <c r="L227" s="2" t="s">
        <v>86</v>
      </c>
      <c r="M227" s="2">
        <v>10</v>
      </c>
      <c r="N227" s="2" t="str" cm="1">
        <f t="array" ref="N227">_xlfn.IFS(Tabela1[[#This Row],[qtde_]]="N/A", "N/A",Tabela1[[#This Row],[qtde_]]&lt;11,"BAIXO",Tabela1[[#This Row],[qtde_]]&lt;26,"MÉDIO",Tabela1[[#This Row],[qtde_]]&gt;=26,"ALTO")</f>
        <v>BAIXO</v>
      </c>
      <c r="O227" s="12" t="str">
        <f>IF(AND(Tabela1[[#This Row],[nivel_risco]]="ALTO",Tabela1[[#This Row],[flag_inadimplente]] = "Sim"),"negada","aprovada")</f>
        <v>aprovada</v>
      </c>
      <c r="P227" s="12" t="str">
        <f>IF(AND(Tabela1[[#This Row],[credito_tomado]]&gt;50000,Tabela1[[#This Row],[flag_inadimplente]]="Sim"),"negada","aprovada")</f>
        <v>aprovada</v>
      </c>
      <c r="Q227" s="6">
        <v>6500</v>
      </c>
      <c r="R227" s="12" cm="1">
        <f t="array" ref="R22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520</v>
      </c>
    </row>
    <row r="228" spans="1:18" ht="15.75" customHeight="1" x14ac:dyDescent="0.2">
      <c r="A228" s="2" t="s">
        <v>80</v>
      </c>
      <c r="B228" s="7" t="s">
        <v>512</v>
      </c>
      <c r="C228" s="1">
        <v>21900</v>
      </c>
      <c r="D228" s="1" t="str">
        <f>TEXT(C228,"000\.000\.000\-00")</f>
        <v>000.000.219-00</v>
      </c>
      <c r="E228" s="2">
        <v>67</v>
      </c>
      <c r="F228" s="3">
        <v>21619</v>
      </c>
      <c r="G228" s="2" t="s">
        <v>104</v>
      </c>
      <c r="H228" s="7" t="s">
        <v>128</v>
      </c>
      <c r="I228" s="7" t="str">
        <f>PROPER(Tabela1[[#This Row],[regiao]])</f>
        <v>Terras Da Tempestade</v>
      </c>
      <c r="J228" s="8">
        <v>20200</v>
      </c>
      <c r="K228" s="9">
        <v>6500</v>
      </c>
      <c r="L228" s="2" t="s">
        <v>86</v>
      </c>
      <c r="M228" s="2">
        <v>1</v>
      </c>
      <c r="N228" s="2" t="str" cm="1">
        <f t="array" ref="N228">_xlfn.IFS(Tabela1[[#This Row],[qtde_]]="N/A", "N/A",Tabela1[[#This Row],[qtde_]]&lt;11,"BAIXO",Tabela1[[#This Row],[qtde_]]&lt;26,"MÉDIO",Tabela1[[#This Row],[qtde_]]&gt;=26,"ALTO")</f>
        <v>BAIXO</v>
      </c>
      <c r="O228" s="12" t="str">
        <f>IF(AND(Tabela1[[#This Row],[nivel_risco]]="ALTO",Tabela1[[#This Row],[flag_inadimplente]] = "Sim"),"negada","aprovada")</f>
        <v>aprovada</v>
      </c>
      <c r="P228" s="12" t="str">
        <f>IF(AND(Tabela1[[#This Row],[credito_tomado]]&gt;50000,Tabela1[[#This Row],[flag_inadimplente]]="Sim"),"negada","aprovada")</f>
        <v>aprovada</v>
      </c>
      <c r="Q228" s="6">
        <v>98500</v>
      </c>
      <c r="R228" s="12" cm="1">
        <f t="array" ref="R22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7880</v>
      </c>
    </row>
    <row r="229" spans="1:18" ht="15.75" customHeight="1" x14ac:dyDescent="0.2">
      <c r="A229" s="2" t="s">
        <v>80</v>
      </c>
      <c r="B229" s="7" t="s">
        <v>513</v>
      </c>
      <c r="C229" s="1" t="s">
        <v>514</v>
      </c>
      <c r="D229" s="1" t="str">
        <f>TEXT(C229,"000\.000\.000\-00")</f>
        <v>000.000.036-00</v>
      </c>
      <c r="E229" s="2">
        <v>49</v>
      </c>
      <c r="F229" s="3">
        <v>28136</v>
      </c>
      <c r="G229" s="2" t="s">
        <v>84</v>
      </c>
      <c r="H229" s="7" t="s">
        <v>122</v>
      </c>
      <c r="I229" s="7" t="str">
        <f>PROPER(Tabela1[[#This Row],[regiao]])</f>
        <v>Campina</v>
      </c>
      <c r="J229" s="8">
        <v>20300</v>
      </c>
      <c r="K229" s="9">
        <v>12000</v>
      </c>
      <c r="L229" s="2" t="s">
        <v>101</v>
      </c>
      <c r="M229" s="2">
        <v>27</v>
      </c>
      <c r="N229" s="2" t="str" cm="1">
        <f t="array" ref="N229">_xlfn.IFS(Tabela1[[#This Row],[qtde_]]="N/A", "N/A",Tabela1[[#This Row],[qtde_]]&lt;11,"BAIXO",Tabela1[[#This Row],[qtde_]]&lt;26,"MÉDIO",Tabela1[[#This Row],[qtde_]]&gt;=26,"ALTO")</f>
        <v>ALTO</v>
      </c>
      <c r="O229" s="12" t="str">
        <f>IF(AND(Tabela1[[#This Row],[nivel_risco]]="ALTO",Tabela1[[#This Row],[flag_inadimplente]] = "Sim"),"negada","aprovada")</f>
        <v>negada</v>
      </c>
      <c r="P229" s="12" t="str">
        <f>IF(AND(Tabela1[[#This Row],[credito_tomado]]&gt;50000,Tabela1[[#This Row],[flag_inadimplente]]="Sim"),"negada","aprovada")</f>
        <v>aprovada</v>
      </c>
      <c r="Q229" s="6">
        <v>67500</v>
      </c>
      <c r="R229" s="12" t="e" cm="1">
        <f t="array" ref="R22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30" spans="1:18" ht="15.75" customHeight="1" x14ac:dyDescent="0.2">
      <c r="A230" s="2" t="s">
        <v>80</v>
      </c>
      <c r="B230" s="7" t="s">
        <v>515</v>
      </c>
      <c r="C230" s="1" t="s">
        <v>516</v>
      </c>
      <c r="D230" s="1" t="str">
        <f>TEXT(C230,"000\.000\.000\-00")</f>
        <v>000.000.284-00</v>
      </c>
      <c r="E230" s="2">
        <v>42</v>
      </c>
      <c r="F230" s="3">
        <v>30662</v>
      </c>
      <c r="G230" s="2" t="s">
        <v>112</v>
      </c>
      <c r="H230" s="7" t="s">
        <v>100</v>
      </c>
      <c r="I230" s="7" t="str">
        <f>PROPER(Tabela1[[#This Row],[regiao]])</f>
        <v>Norte</v>
      </c>
      <c r="J230" s="8">
        <v>20400</v>
      </c>
      <c r="K230" s="9">
        <v>0</v>
      </c>
      <c r="L230" s="2" t="s">
        <v>86</v>
      </c>
      <c r="M230" s="2">
        <v>0</v>
      </c>
      <c r="N230" s="2" t="str" cm="1">
        <f t="array" ref="N230">_xlfn.IFS(Tabela1[[#This Row],[qtde_]]="N/A", "N/A",Tabela1[[#This Row],[qtde_]]&lt;11,"BAIXO",Tabela1[[#This Row],[qtde_]]&lt;26,"MÉDIO",Tabela1[[#This Row],[qtde_]]&gt;=26,"ALTO")</f>
        <v>BAIXO</v>
      </c>
      <c r="O230" s="12" t="str">
        <f>IF(AND(Tabela1[[#This Row],[nivel_risco]]="ALTO",Tabela1[[#This Row],[flag_inadimplente]] = "Sim"),"negada","aprovada")</f>
        <v>aprovada</v>
      </c>
      <c r="P230" s="12" t="str">
        <f>IF(AND(Tabela1[[#This Row],[credito_tomado]]&gt;50000,Tabela1[[#This Row],[flag_inadimplente]]="Sim"),"negada","aprovada")</f>
        <v>aprovada</v>
      </c>
      <c r="Q230" s="6">
        <v>81000</v>
      </c>
      <c r="R230" s="12" cm="1">
        <f t="array" ref="R23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6480</v>
      </c>
    </row>
    <row r="231" spans="1:18" ht="15.75" customHeight="1" x14ac:dyDescent="0.2">
      <c r="A231" s="2" t="s">
        <v>80</v>
      </c>
      <c r="B231" s="7" t="s">
        <v>517</v>
      </c>
      <c r="C231" s="1" t="s">
        <v>518</v>
      </c>
      <c r="D231" s="1" t="str">
        <f>TEXT(C231,"000\.000\.000\-00")</f>
        <v>000.000.170-00</v>
      </c>
      <c r="E231" s="2">
        <v>31</v>
      </c>
      <c r="F231" s="3">
        <v>34852</v>
      </c>
      <c r="G231" s="2" t="s">
        <v>344</v>
      </c>
      <c r="H231" s="10" t="s">
        <v>113</v>
      </c>
      <c r="I231" s="10" t="str">
        <f>PROPER(Tabela1[[#This Row],[regiao]])</f>
        <v>Norte</v>
      </c>
      <c r="J231" s="8">
        <v>20500</v>
      </c>
      <c r="K231" s="9">
        <v>47500</v>
      </c>
      <c r="L231" s="2" t="s">
        <v>86</v>
      </c>
      <c r="M231" s="2">
        <v>11</v>
      </c>
      <c r="N231" s="2" t="str" cm="1">
        <f t="array" ref="N231">_xlfn.IFS(Tabela1[[#This Row],[qtde_]]="N/A", "N/A",Tabela1[[#This Row],[qtde_]]&lt;11,"BAIXO",Tabela1[[#This Row],[qtde_]]&lt;26,"MÉDIO",Tabela1[[#This Row],[qtde_]]&gt;=26,"ALTO")</f>
        <v>MÉDIO</v>
      </c>
      <c r="O231" s="12" t="str">
        <f>IF(AND(Tabela1[[#This Row],[nivel_risco]]="ALTO",Tabela1[[#This Row],[flag_inadimplente]] = "Sim"),"negada","aprovada")</f>
        <v>aprovada</v>
      </c>
      <c r="P231" s="12" t="str">
        <f>IF(AND(Tabela1[[#This Row],[credito_tomado]]&gt;50000,Tabela1[[#This Row],[flag_inadimplente]]="Sim"),"negada","aprovada")</f>
        <v>aprovada</v>
      </c>
      <c r="Q231" s="6">
        <v>18500</v>
      </c>
      <c r="R231" s="12" cm="1">
        <f t="array" ref="R23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1480</v>
      </c>
    </row>
    <row r="232" spans="1:18" ht="15.75" customHeight="1" x14ac:dyDescent="0.2">
      <c r="A232" s="2" t="s">
        <v>96</v>
      </c>
      <c r="B232" s="7" t="s">
        <v>452</v>
      </c>
      <c r="C232" s="1">
        <v>34900</v>
      </c>
      <c r="D232" s="1" t="str">
        <f>TEXT(C232,"000\.000\.000\-00")</f>
        <v>000.000.349-00</v>
      </c>
      <c r="E232" s="2">
        <v>32</v>
      </c>
      <c r="F232" s="3">
        <v>34387</v>
      </c>
      <c r="G232" s="2" t="s">
        <v>112</v>
      </c>
      <c r="H232" s="7" t="s">
        <v>113</v>
      </c>
      <c r="I232" s="7" t="str">
        <f>PROPER(Tabela1[[#This Row],[regiao]])</f>
        <v>Norte</v>
      </c>
      <c r="J232" s="8">
        <v>20500</v>
      </c>
      <c r="K232" s="9">
        <v>0</v>
      </c>
      <c r="L232" s="2" t="s">
        <v>86</v>
      </c>
      <c r="M232" s="2">
        <v>41</v>
      </c>
      <c r="N232" s="2" t="str" cm="1">
        <f t="array" ref="N232">_xlfn.IFS(Tabela1[[#This Row],[qtde_]]="N/A", "N/A",Tabela1[[#This Row],[qtde_]]&lt;11,"BAIXO",Tabela1[[#This Row],[qtde_]]&lt;26,"MÉDIO",Tabela1[[#This Row],[qtde_]]&gt;=26,"ALTO")</f>
        <v>ALTO</v>
      </c>
      <c r="O232" s="12" t="str">
        <f>IF(AND(Tabela1[[#This Row],[nivel_risco]]="ALTO",Tabela1[[#This Row],[flag_inadimplente]] = "Sim"),"negada","aprovada")</f>
        <v>aprovada</v>
      </c>
      <c r="P232" s="12" t="str">
        <f>IF(AND(Tabela1[[#This Row],[credito_tomado]]&gt;50000,Tabela1[[#This Row],[flag_inadimplente]]="Sim"),"negada","aprovada")</f>
        <v>aprovada</v>
      </c>
      <c r="Q232" s="6">
        <v>54500</v>
      </c>
      <c r="R232" s="12" t="e" cm="1">
        <f t="array" ref="R23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33" spans="1:18" ht="15.75" customHeight="1" x14ac:dyDescent="0.2">
      <c r="A233" s="2" t="s">
        <v>80</v>
      </c>
      <c r="B233" s="7" t="s">
        <v>519</v>
      </c>
      <c r="C233" s="1" t="s">
        <v>520</v>
      </c>
      <c r="D233" s="1" t="str">
        <f>TEXT(C233,"000\.000\.000\-00")</f>
        <v>000.000.315-00</v>
      </c>
      <c r="E233" s="2">
        <v>57</v>
      </c>
      <c r="F233" s="3">
        <v>25350</v>
      </c>
      <c r="G233" s="2" t="s">
        <v>132</v>
      </c>
      <c r="H233" s="7" t="s">
        <v>141</v>
      </c>
      <c r="I233" s="7" t="str">
        <f>PROPER(Tabela1[[#This Row],[regiao]])</f>
        <v>Terras Fluviais</v>
      </c>
      <c r="J233" s="8">
        <v>20600</v>
      </c>
      <c r="K233" s="9">
        <v>52500</v>
      </c>
      <c r="L233" s="2" t="s">
        <v>83</v>
      </c>
      <c r="M233" s="2">
        <v>16</v>
      </c>
      <c r="N233" s="2" t="str" cm="1">
        <f t="array" ref="N233">_xlfn.IFS(Tabela1[[#This Row],[qtde_]]="N/A", "N/A",Tabela1[[#This Row],[qtde_]]&lt;11,"BAIXO",Tabela1[[#This Row],[qtde_]]&lt;26,"MÉDIO",Tabela1[[#This Row],[qtde_]]&gt;=26,"ALTO")</f>
        <v>MÉDIO</v>
      </c>
      <c r="O233" s="12" t="str">
        <f>IF(AND(Tabela1[[#This Row],[nivel_risco]]="ALTO",Tabela1[[#This Row],[flag_inadimplente]] = "Sim"),"negada","aprovada")</f>
        <v>aprovada</v>
      </c>
      <c r="P233" s="12" t="str">
        <f>IF(AND(Tabela1[[#This Row],[credito_tomado]]&gt;50000,Tabela1[[#This Row],[flag_inadimplente]]="Sim"),"negada","aprovada")</f>
        <v>aprovada</v>
      </c>
      <c r="Q233" s="6">
        <v>97000</v>
      </c>
      <c r="R233" s="12" t="str" cm="1">
        <f t="array" ref="R23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34" spans="1:18" ht="15.75" customHeight="1" x14ac:dyDescent="0.2">
      <c r="A234" s="2" t="s">
        <v>80</v>
      </c>
      <c r="B234" s="7" t="s">
        <v>521</v>
      </c>
      <c r="C234" s="1" t="s">
        <v>522</v>
      </c>
      <c r="D234" s="1" t="str">
        <f>TEXT(C234,"000\.000\.000\-00")</f>
        <v>000.000.134-00</v>
      </c>
      <c r="E234" s="2">
        <v>44</v>
      </c>
      <c r="F234" s="3">
        <v>29892</v>
      </c>
      <c r="G234" s="2" t="s">
        <v>118</v>
      </c>
      <c r="H234" s="7" t="s">
        <v>119</v>
      </c>
      <c r="I234" s="7" t="str">
        <f>PROPER(Tabela1[[#This Row],[regiao]])</f>
        <v>Oeste</v>
      </c>
      <c r="J234" s="8">
        <v>20600</v>
      </c>
      <c r="K234" s="9">
        <v>8000</v>
      </c>
      <c r="L234" s="2" t="s">
        <v>86</v>
      </c>
      <c r="M234" s="2">
        <v>39</v>
      </c>
      <c r="N234" s="2" t="str" cm="1">
        <f t="array" ref="N234">_xlfn.IFS(Tabela1[[#This Row],[qtde_]]="N/A", "N/A",Tabela1[[#This Row],[qtde_]]&lt;11,"BAIXO",Tabela1[[#This Row],[qtde_]]&lt;26,"MÉDIO",Tabela1[[#This Row],[qtde_]]&gt;=26,"ALTO")</f>
        <v>ALTO</v>
      </c>
      <c r="O234" s="12" t="str">
        <f>IF(AND(Tabela1[[#This Row],[nivel_risco]]="ALTO",Tabela1[[#This Row],[flag_inadimplente]] = "Sim"),"negada","aprovada")</f>
        <v>aprovada</v>
      </c>
      <c r="P234" s="12" t="str">
        <f>IF(AND(Tabela1[[#This Row],[credito_tomado]]&gt;50000,Tabela1[[#This Row],[flag_inadimplente]]="Sim"),"negada","aprovada")</f>
        <v>aprovada</v>
      </c>
      <c r="Q234" s="6">
        <v>36000</v>
      </c>
      <c r="R234" s="12" cm="1">
        <f t="array" ref="R23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2880</v>
      </c>
    </row>
    <row r="235" spans="1:18" ht="15.75" customHeight="1" x14ac:dyDescent="0.2">
      <c r="A235" s="2" t="s">
        <v>80</v>
      </c>
      <c r="B235" s="7" t="s">
        <v>523</v>
      </c>
      <c r="C235" s="1" t="s">
        <v>524</v>
      </c>
      <c r="D235" s="1" t="str">
        <f>TEXT(C235,"000\.000\.000\-00")</f>
        <v>000.000.376-00</v>
      </c>
      <c r="E235" s="2">
        <v>57</v>
      </c>
      <c r="F235" s="3">
        <v>25199</v>
      </c>
      <c r="G235" s="2" t="s">
        <v>206</v>
      </c>
      <c r="H235" s="7" t="s">
        <v>226</v>
      </c>
      <c r="I235" s="7" t="str">
        <f>PROPER(Tabela1[[#This Row],[regiao]])</f>
        <v>Campina</v>
      </c>
      <c r="J235" s="8">
        <v>20700</v>
      </c>
      <c r="K235" s="9">
        <v>64500</v>
      </c>
      <c r="L235" s="2" t="s">
        <v>86</v>
      </c>
      <c r="M235" s="2">
        <v>19</v>
      </c>
      <c r="N235" s="2" t="str" cm="1">
        <f t="array" ref="N235">_xlfn.IFS(Tabela1[[#This Row],[qtde_]]="N/A", "N/A",Tabela1[[#This Row],[qtde_]]&lt;11,"BAIXO",Tabela1[[#This Row],[qtde_]]&lt;26,"MÉDIO",Tabela1[[#This Row],[qtde_]]&gt;=26,"ALTO")</f>
        <v>MÉDIO</v>
      </c>
      <c r="O235" s="12" t="str">
        <f>IF(AND(Tabela1[[#This Row],[nivel_risco]]="ALTO",Tabela1[[#This Row],[flag_inadimplente]] = "Sim"),"negada","aprovada")</f>
        <v>aprovada</v>
      </c>
      <c r="P235" s="12" t="str">
        <f>IF(AND(Tabela1[[#This Row],[credito_tomado]]&gt;50000,Tabela1[[#This Row],[flag_inadimplente]]="Sim"),"negada","aprovada")</f>
        <v>aprovada</v>
      </c>
      <c r="Q235" s="6">
        <v>54500</v>
      </c>
      <c r="R235" s="12" cm="1">
        <f t="array" ref="R23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4360</v>
      </c>
    </row>
    <row r="236" spans="1:18" ht="15.75" customHeight="1" x14ac:dyDescent="0.2">
      <c r="A236" s="2" t="s">
        <v>80</v>
      </c>
      <c r="B236" s="7" t="s">
        <v>525</v>
      </c>
      <c r="C236" s="1">
        <v>19300</v>
      </c>
      <c r="D236" s="1" t="str">
        <f>TEXT(C236,"000\.000\.000\-00")</f>
        <v>000.000.193-00</v>
      </c>
      <c r="E236" s="2">
        <v>74</v>
      </c>
      <c r="F236" s="3">
        <v>19131</v>
      </c>
      <c r="G236" s="2" t="s">
        <v>89</v>
      </c>
      <c r="H236" s="7" t="s">
        <v>53</v>
      </c>
      <c r="I236" s="7" t="str">
        <f>PROPER(Tabela1[[#This Row],[regiao]])</f>
        <v>Terras Da Coroa</v>
      </c>
      <c r="J236" s="8">
        <v>20700</v>
      </c>
      <c r="K236" s="9">
        <v>17500</v>
      </c>
      <c r="L236" s="2" t="s">
        <v>86</v>
      </c>
      <c r="M236" s="2">
        <v>35</v>
      </c>
      <c r="N236" s="2" t="str" cm="1">
        <f t="array" ref="N236">_xlfn.IFS(Tabela1[[#This Row],[qtde_]]="N/A", "N/A",Tabela1[[#This Row],[qtde_]]&lt;11,"BAIXO",Tabela1[[#This Row],[qtde_]]&lt;26,"MÉDIO",Tabela1[[#This Row],[qtde_]]&gt;=26,"ALTO")</f>
        <v>ALTO</v>
      </c>
      <c r="O236" s="12" t="str">
        <f>IF(AND(Tabela1[[#This Row],[nivel_risco]]="ALTO",Tabela1[[#This Row],[flag_inadimplente]] = "Sim"),"negada","aprovada")</f>
        <v>aprovada</v>
      </c>
      <c r="P236" s="12" t="str">
        <f>IF(AND(Tabela1[[#This Row],[credito_tomado]]&gt;50000,Tabela1[[#This Row],[flag_inadimplente]]="Sim"),"negada","aprovada")</f>
        <v>aprovada</v>
      </c>
      <c r="Q236" s="6">
        <v>65000</v>
      </c>
      <c r="R236" s="12" cm="1">
        <f t="array" ref="R23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5200</v>
      </c>
    </row>
    <row r="237" spans="1:18" ht="15.75" customHeight="1" x14ac:dyDescent="0.2">
      <c r="A237" s="2" t="s">
        <v>80</v>
      </c>
      <c r="B237" s="7" t="s">
        <v>525</v>
      </c>
      <c r="C237" s="1">
        <v>19300</v>
      </c>
      <c r="D237" s="1" t="str">
        <f>TEXT(C237,"000\.000\.000\-00")</f>
        <v>000.000.193-00</v>
      </c>
      <c r="E237" s="2">
        <v>74</v>
      </c>
      <c r="F237" s="3">
        <v>19131</v>
      </c>
      <c r="G237" s="2" t="s">
        <v>89</v>
      </c>
      <c r="H237" s="7" t="s">
        <v>53</v>
      </c>
      <c r="I237" s="7" t="str">
        <f>PROPER(Tabela1[[#This Row],[regiao]])</f>
        <v>Terras Da Coroa</v>
      </c>
      <c r="J237" s="8">
        <v>20700</v>
      </c>
      <c r="K237" s="9">
        <v>17500</v>
      </c>
      <c r="L237" s="2" t="s">
        <v>86</v>
      </c>
      <c r="M237" s="2">
        <v>35</v>
      </c>
      <c r="N237" s="2" t="str" cm="1">
        <f t="array" ref="N237">_xlfn.IFS(Tabela1[[#This Row],[qtde_]]="N/A", "N/A",Tabela1[[#This Row],[qtde_]]&lt;11,"BAIXO",Tabela1[[#This Row],[qtde_]]&lt;26,"MÉDIO",Tabela1[[#This Row],[qtde_]]&gt;=26,"ALTO")</f>
        <v>ALTO</v>
      </c>
      <c r="O237" s="12" t="str">
        <f>IF(AND(Tabela1[[#This Row],[nivel_risco]]="ALTO",Tabela1[[#This Row],[flag_inadimplente]] = "Sim"),"negada","aprovada")</f>
        <v>aprovada</v>
      </c>
      <c r="P237" s="12" t="str">
        <f>IF(AND(Tabela1[[#This Row],[credito_tomado]]&gt;50000,Tabela1[[#This Row],[flag_inadimplente]]="Sim"),"negada","aprovada")</f>
        <v>aprovada</v>
      </c>
      <c r="Q237" s="6">
        <v>68500</v>
      </c>
      <c r="R237" s="12" cm="1">
        <f t="array" ref="R23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5480</v>
      </c>
    </row>
    <row r="238" spans="1:18" ht="15.75" customHeight="1" x14ac:dyDescent="0.2">
      <c r="A238" s="2" t="s">
        <v>80</v>
      </c>
      <c r="B238" s="7" t="s">
        <v>526</v>
      </c>
      <c r="C238" s="1" t="s">
        <v>527</v>
      </c>
      <c r="D238" s="1" t="str">
        <f>TEXT(C238,"000\.000\.000\-00")</f>
        <v>000.000.301-00</v>
      </c>
      <c r="E238" s="2">
        <v>42</v>
      </c>
      <c r="F238" s="3">
        <v>30898</v>
      </c>
      <c r="G238" s="2" t="s">
        <v>118</v>
      </c>
      <c r="I238" s="7" t="s">
        <v>83</v>
      </c>
      <c r="J238" s="8">
        <v>20800</v>
      </c>
      <c r="K238" s="9">
        <v>54000</v>
      </c>
      <c r="L238" s="2" t="s">
        <v>86</v>
      </c>
      <c r="M238" s="2">
        <v>4</v>
      </c>
      <c r="N238" s="2" t="str" cm="1">
        <f t="array" ref="N238">_xlfn.IFS(Tabela1[[#This Row],[qtde_]]="N/A", "N/A",Tabela1[[#This Row],[qtde_]]&lt;11,"BAIXO",Tabela1[[#This Row],[qtde_]]&lt;26,"MÉDIO",Tabela1[[#This Row],[qtde_]]&gt;=26,"ALTO")</f>
        <v>BAIXO</v>
      </c>
      <c r="O238" s="12" t="str">
        <f>IF(AND(Tabela1[[#This Row],[nivel_risco]]="ALTO",Tabela1[[#This Row],[flag_inadimplente]] = "Sim"),"negada","aprovada")</f>
        <v>aprovada</v>
      </c>
      <c r="P238" s="12" t="str">
        <f>IF(AND(Tabela1[[#This Row],[credito_tomado]]&gt;50000,Tabela1[[#This Row],[flag_inadimplente]]="Sim"),"negada","aprovada")</f>
        <v>aprovada</v>
      </c>
      <c r="Q238" s="6">
        <v>73500</v>
      </c>
      <c r="R238" s="12" cm="1">
        <f t="array" ref="R23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5880</v>
      </c>
    </row>
    <row r="239" spans="1:18" ht="15.75" customHeight="1" x14ac:dyDescent="0.2">
      <c r="A239" s="2" t="s">
        <v>83</v>
      </c>
      <c r="B239" s="7" t="s">
        <v>528</v>
      </c>
      <c r="C239" s="1" t="s">
        <v>529</v>
      </c>
      <c r="D239" s="1" t="str">
        <f>TEXT(C239,"000\.000\.000\-00")</f>
        <v>000.000.080-00</v>
      </c>
      <c r="E239" s="2">
        <v>54</v>
      </c>
      <c r="F239" s="3">
        <v>26403</v>
      </c>
      <c r="G239" s="2" t="s">
        <v>121</v>
      </c>
      <c r="H239" s="7" t="s">
        <v>85</v>
      </c>
      <c r="I239" s="7" t="str">
        <f>PROPER(Tabela1[[#This Row],[regiao]])</f>
        <v>Campina</v>
      </c>
      <c r="J239" s="8">
        <v>20800</v>
      </c>
      <c r="K239" s="9">
        <v>16000</v>
      </c>
      <c r="L239" s="2" t="s">
        <v>86</v>
      </c>
      <c r="M239" s="2">
        <v>32</v>
      </c>
      <c r="N239" s="2" t="str" cm="1">
        <f t="array" ref="N239">_xlfn.IFS(Tabela1[[#This Row],[qtde_]]="N/A", "N/A",Tabela1[[#This Row],[qtde_]]&lt;11,"BAIXO",Tabela1[[#This Row],[qtde_]]&lt;26,"MÉDIO",Tabela1[[#This Row],[qtde_]]&gt;=26,"ALTO")</f>
        <v>ALTO</v>
      </c>
      <c r="O239" s="12" t="str">
        <f>IF(AND(Tabela1[[#This Row],[nivel_risco]]="ALTO",Tabela1[[#This Row],[flag_inadimplente]] = "Sim"),"negada","aprovada")</f>
        <v>aprovada</v>
      </c>
      <c r="P239" s="12" t="str">
        <f>IF(AND(Tabela1[[#This Row],[credito_tomado]]&gt;50000,Tabela1[[#This Row],[flag_inadimplente]]="Sim"),"negada","aprovada")</f>
        <v>aprovada</v>
      </c>
      <c r="Q239" s="6">
        <v>31500</v>
      </c>
      <c r="R239" s="12" t="e" cm="1">
        <f t="array" ref="R23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40" spans="1:18" ht="15.75" customHeight="1" x14ac:dyDescent="0.2">
      <c r="A240" s="2" t="s">
        <v>80</v>
      </c>
      <c r="B240" s="7" t="s">
        <v>530</v>
      </c>
      <c r="C240" s="1" t="s">
        <v>531</v>
      </c>
      <c r="D240" s="1" t="str">
        <f>TEXT(C240,"000\.000\.000\-00")</f>
        <v>000.000.056-00</v>
      </c>
      <c r="E240" s="2">
        <v>35</v>
      </c>
      <c r="F240" s="3">
        <v>33336</v>
      </c>
      <c r="G240" s="2" t="s">
        <v>144</v>
      </c>
      <c r="H240" s="7" t="s">
        <v>145</v>
      </c>
      <c r="I240" s="7" t="str">
        <f>PROPER(Tabela1[[#This Row],[regiao]])</f>
        <v>Vale</v>
      </c>
      <c r="J240" s="8">
        <v>20900</v>
      </c>
      <c r="K240" s="9">
        <v>54000</v>
      </c>
      <c r="L240" s="2" t="s">
        <v>86</v>
      </c>
      <c r="M240" s="2">
        <v>44</v>
      </c>
      <c r="N240" s="2" t="str" cm="1">
        <f t="array" ref="N240">_xlfn.IFS(Tabela1[[#This Row],[qtde_]]="N/A", "N/A",Tabela1[[#This Row],[qtde_]]&lt;11,"BAIXO",Tabela1[[#This Row],[qtde_]]&lt;26,"MÉDIO",Tabela1[[#This Row],[qtde_]]&gt;=26,"ALTO")</f>
        <v>ALTO</v>
      </c>
      <c r="O240" s="12" t="str">
        <f>IF(AND(Tabela1[[#This Row],[nivel_risco]]="ALTO",Tabela1[[#This Row],[flag_inadimplente]] = "Sim"),"negada","aprovada")</f>
        <v>aprovada</v>
      </c>
      <c r="P240" s="12" t="str">
        <f>IF(AND(Tabela1[[#This Row],[credito_tomado]]&gt;50000,Tabela1[[#This Row],[flag_inadimplente]]="Sim"),"negada","aprovada")</f>
        <v>aprovada</v>
      </c>
      <c r="Q240" s="6">
        <v>18000</v>
      </c>
      <c r="R240" s="12" cm="1">
        <f t="array" ref="R24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1440</v>
      </c>
    </row>
    <row r="241" spans="1:18" ht="15.75" customHeight="1" x14ac:dyDescent="0.2">
      <c r="A241" s="2" t="s">
        <v>96</v>
      </c>
      <c r="B241" s="7" t="s">
        <v>532</v>
      </c>
      <c r="C241" s="1" t="s">
        <v>533</v>
      </c>
      <c r="D241" s="1" t="str">
        <f>TEXT(C241,"000\.000\.000\-00")</f>
        <v>000.000.065-00</v>
      </c>
      <c r="E241" s="2" t="s">
        <v>83</v>
      </c>
      <c r="F241" s="3">
        <v>19672</v>
      </c>
      <c r="G241" s="2" t="s">
        <v>115</v>
      </c>
      <c r="H241" s="7" t="s">
        <v>115</v>
      </c>
      <c r="I241" s="7" t="str">
        <f>PROPER(Tabela1[[#This Row],[regiao]])</f>
        <v>Dorne</v>
      </c>
      <c r="J241" s="8">
        <v>21000</v>
      </c>
      <c r="K241" s="9">
        <v>0</v>
      </c>
      <c r="L241" s="2" t="s">
        <v>86</v>
      </c>
      <c r="M241" s="2">
        <v>11</v>
      </c>
      <c r="N241" s="2" t="str" cm="1">
        <f t="array" ref="N241">_xlfn.IFS(Tabela1[[#This Row],[qtde_]]="N/A", "N/A",Tabela1[[#This Row],[qtde_]]&lt;11,"BAIXO",Tabela1[[#This Row],[qtde_]]&lt;26,"MÉDIO",Tabela1[[#This Row],[qtde_]]&gt;=26,"ALTO")</f>
        <v>MÉDIO</v>
      </c>
      <c r="O241" s="12" t="str">
        <f>IF(AND(Tabela1[[#This Row],[nivel_risco]]="ALTO",Tabela1[[#This Row],[flag_inadimplente]] = "Sim"),"negada","aprovada")</f>
        <v>aprovada</v>
      </c>
      <c r="P241" s="12" t="str">
        <f>IF(AND(Tabela1[[#This Row],[credito_tomado]]&gt;50000,Tabela1[[#This Row],[flag_inadimplente]]="Sim"),"negada","aprovada")</f>
        <v>aprovada</v>
      </c>
      <c r="Q241" s="6">
        <v>75500</v>
      </c>
      <c r="R241" s="12" t="e" cm="1">
        <f t="array" ref="R24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42" spans="1:18" ht="15.75" customHeight="1" x14ac:dyDescent="0.2">
      <c r="A242" s="2" t="s">
        <v>96</v>
      </c>
      <c r="B242" s="7" t="s">
        <v>534</v>
      </c>
      <c r="C242" s="1">
        <v>20600</v>
      </c>
      <c r="D242" s="1" t="str">
        <f>TEXT(C242,"000\.000\.000\-00")</f>
        <v>000.000.206-00</v>
      </c>
      <c r="E242" s="2">
        <v>55</v>
      </c>
      <c r="F242" s="3">
        <v>26075</v>
      </c>
      <c r="G242" s="2" t="s">
        <v>144</v>
      </c>
      <c r="H242" s="7" t="s">
        <v>145</v>
      </c>
      <c r="I242" s="7" t="str">
        <f>PROPER(Tabela1[[#This Row],[regiao]])</f>
        <v>Vale</v>
      </c>
      <c r="J242" s="8">
        <v>21100</v>
      </c>
      <c r="K242" s="9">
        <v>67500</v>
      </c>
      <c r="L242" s="2" t="s">
        <v>86</v>
      </c>
      <c r="M242" s="2">
        <v>15</v>
      </c>
      <c r="N242" s="2" t="str" cm="1">
        <f t="array" ref="N242">_xlfn.IFS(Tabela1[[#This Row],[qtde_]]="N/A", "N/A",Tabela1[[#This Row],[qtde_]]&lt;11,"BAIXO",Tabela1[[#This Row],[qtde_]]&lt;26,"MÉDIO",Tabela1[[#This Row],[qtde_]]&gt;=26,"ALTO")</f>
        <v>MÉDIO</v>
      </c>
      <c r="O242" s="12" t="str">
        <f>IF(AND(Tabela1[[#This Row],[nivel_risco]]="ALTO",Tabela1[[#This Row],[flag_inadimplente]] = "Sim"),"negada","aprovada")</f>
        <v>aprovada</v>
      </c>
      <c r="P242" s="12" t="str">
        <f>IF(AND(Tabela1[[#This Row],[credito_tomado]]&gt;50000,Tabela1[[#This Row],[flag_inadimplente]]="Sim"),"negada","aprovada")</f>
        <v>aprovada</v>
      </c>
      <c r="Q242" s="6">
        <v>20000</v>
      </c>
      <c r="R242" s="12" t="e" cm="1">
        <f t="array" ref="R24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43" spans="1:18" ht="15.75" customHeight="1" x14ac:dyDescent="0.2">
      <c r="A243" s="2" t="s">
        <v>80</v>
      </c>
      <c r="B243" s="7" t="s">
        <v>535</v>
      </c>
      <c r="C243" s="1" t="s">
        <v>536</v>
      </c>
      <c r="D243" s="1" t="str">
        <f>TEXT(C243,"000\.000\.000\-00")</f>
        <v>000.000.372-00</v>
      </c>
      <c r="E243" s="2">
        <v>29</v>
      </c>
      <c r="F243" s="3">
        <v>35323</v>
      </c>
      <c r="G243" s="2" t="s">
        <v>84</v>
      </c>
      <c r="H243" s="7" t="s">
        <v>85</v>
      </c>
      <c r="I243" s="7" t="str">
        <f>PROPER(Tabela1[[#This Row],[regiao]])</f>
        <v>Campina</v>
      </c>
      <c r="J243" s="8">
        <v>21200</v>
      </c>
      <c r="K243" s="9">
        <v>75000</v>
      </c>
      <c r="L243" s="2" t="s">
        <v>86</v>
      </c>
      <c r="M243" s="2">
        <v>6</v>
      </c>
      <c r="N243" s="2" t="str" cm="1">
        <f t="array" ref="N243">_xlfn.IFS(Tabela1[[#This Row],[qtde_]]="N/A", "N/A",Tabela1[[#This Row],[qtde_]]&lt;11,"BAIXO",Tabela1[[#This Row],[qtde_]]&lt;26,"MÉDIO",Tabela1[[#This Row],[qtde_]]&gt;=26,"ALTO")</f>
        <v>BAIXO</v>
      </c>
      <c r="O243" s="12" t="str">
        <f>IF(AND(Tabela1[[#This Row],[nivel_risco]]="ALTO",Tabela1[[#This Row],[flag_inadimplente]] = "Sim"),"negada","aprovada")</f>
        <v>aprovada</v>
      </c>
      <c r="P243" s="12" t="str">
        <f>IF(AND(Tabela1[[#This Row],[credito_tomado]]&gt;50000,Tabela1[[#This Row],[flag_inadimplente]]="Sim"),"negada","aprovada")</f>
        <v>aprovada</v>
      </c>
      <c r="Q243" s="6">
        <v>63500</v>
      </c>
      <c r="R243" s="12" cm="1">
        <f t="array" ref="R24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5080</v>
      </c>
    </row>
    <row r="244" spans="1:18" ht="15.75" customHeight="1" x14ac:dyDescent="0.2">
      <c r="A244" s="2" t="s">
        <v>80</v>
      </c>
      <c r="B244" s="7" t="s">
        <v>537</v>
      </c>
      <c r="C244" s="1" t="s">
        <v>538</v>
      </c>
      <c r="D244" s="1" t="str">
        <f>TEXT(C244,"000\.000\.000\-00")</f>
        <v>000.000.090-00</v>
      </c>
      <c r="E244" s="2">
        <v>32</v>
      </c>
      <c r="F244" s="3">
        <v>34457</v>
      </c>
      <c r="G244" s="2" t="s">
        <v>153</v>
      </c>
      <c r="H244" s="7" t="s">
        <v>133</v>
      </c>
      <c r="I244" s="7" t="str">
        <f>PROPER(Tabela1[[#This Row],[regiao]])</f>
        <v>Terras Fluviais</v>
      </c>
      <c r="J244" s="8">
        <v>21300</v>
      </c>
      <c r="K244" s="9">
        <v>48000</v>
      </c>
      <c r="L244" s="2" t="s">
        <v>86</v>
      </c>
      <c r="M244" s="2">
        <v>11</v>
      </c>
      <c r="N244" s="2" t="str" cm="1">
        <f t="array" ref="N244">_xlfn.IFS(Tabela1[[#This Row],[qtde_]]="N/A", "N/A",Tabela1[[#This Row],[qtde_]]&lt;11,"BAIXO",Tabela1[[#This Row],[qtde_]]&lt;26,"MÉDIO",Tabela1[[#This Row],[qtde_]]&gt;=26,"ALTO")</f>
        <v>MÉDIO</v>
      </c>
      <c r="O244" s="12" t="str">
        <f>IF(AND(Tabela1[[#This Row],[nivel_risco]]="ALTO",Tabela1[[#This Row],[flag_inadimplente]] = "Sim"),"negada","aprovada")</f>
        <v>aprovada</v>
      </c>
      <c r="P244" s="12" t="str">
        <f>IF(AND(Tabela1[[#This Row],[credito_tomado]]&gt;50000,Tabela1[[#This Row],[flag_inadimplente]]="Sim"),"negada","aprovada")</f>
        <v>aprovada</v>
      </c>
      <c r="Q244" s="6">
        <v>35000</v>
      </c>
      <c r="R244" s="12" cm="1">
        <f t="array" ref="R24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2800</v>
      </c>
    </row>
    <row r="245" spans="1:18" ht="15.75" customHeight="1" x14ac:dyDescent="0.2">
      <c r="A245" s="2" t="s">
        <v>80</v>
      </c>
      <c r="B245" s="7" t="s">
        <v>539</v>
      </c>
      <c r="C245" s="1" t="s">
        <v>540</v>
      </c>
      <c r="D245" s="1" t="str">
        <f>TEXT(C245,"000\.000\.000\-00")</f>
        <v>000.000.126-00</v>
      </c>
      <c r="E245" s="2">
        <v>53</v>
      </c>
      <c r="F245" s="3">
        <v>26620</v>
      </c>
      <c r="G245" s="2" t="s">
        <v>144</v>
      </c>
      <c r="H245" s="7" t="s">
        <v>177</v>
      </c>
      <c r="I245" s="7" t="str">
        <f>PROPER(Tabela1[[#This Row],[regiao]])</f>
        <v>Vale</v>
      </c>
      <c r="J245" s="8">
        <v>21300</v>
      </c>
      <c r="K245" s="9">
        <v>79500</v>
      </c>
      <c r="L245" s="2" t="s">
        <v>86</v>
      </c>
      <c r="M245" s="2">
        <v>18</v>
      </c>
      <c r="N245" s="2" t="str" cm="1">
        <f t="array" ref="N245">_xlfn.IFS(Tabela1[[#This Row],[qtde_]]="N/A", "N/A",Tabela1[[#This Row],[qtde_]]&lt;11,"BAIXO",Tabela1[[#This Row],[qtde_]]&lt;26,"MÉDIO",Tabela1[[#This Row],[qtde_]]&gt;=26,"ALTO")</f>
        <v>MÉDIO</v>
      </c>
      <c r="O245" s="12" t="str">
        <f>IF(AND(Tabela1[[#This Row],[nivel_risco]]="ALTO",Tabela1[[#This Row],[flag_inadimplente]] = "Sim"),"negada","aprovada")</f>
        <v>aprovada</v>
      </c>
      <c r="P245" s="12" t="str">
        <f>IF(AND(Tabela1[[#This Row],[credito_tomado]]&gt;50000,Tabela1[[#This Row],[flag_inadimplente]]="Sim"),"negada","aprovada")</f>
        <v>aprovada</v>
      </c>
      <c r="Q245" s="6">
        <v>19000</v>
      </c>
      <c r="R245" s="12" cm="1">
        <f t="array" ref="R24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1520</v>
      </c>
    </row>
    <row r="246" spans="1:18" ht="15.75" customHeight="1" x14ac:dyDescent="0.2">
      <c r="A246" s="2" t="s">
        <v>80</v>
      </c>
      <c r="B246" s="7" t="s">
        <v>541</v>
      </c>
      <c r="C246" s="1" t="s">
        <v>542</v>
      </c>
      <c r="D246" s="1" t="str">
        <f>TEXT(C246,"000\.000\.000\-00")</f>
        <v>000.000.265-00</v>
      </c>
      <c r="E246" s="2">
        <v>47</v>
      </c>
      <c r="F246" s="3">
        <v>28841</v>
      </c>
      <c r="G246" s="2" t="s">
        <v>115</v>
      </c>
      <c r="H246" s="7" t="s">
        <v>115</v>
      </c>
      <c r="I246" s="7" t="str">
        <f>PROPER(Tabela1[[#This Row],[regiao]])</f>
        <v>Dorne</v>
      </c>
      <c r="J246" s="8">
        <v>21300</v>
      </c>
      <c r="K246" s="9">
        <v>62000</v>
      </c>
      <c r="L246" s="2" t="s">
        <v>101</v>
      </c>
      <c r="M246" s="2">
        <v>37</v>
      </c>
      <c r="N246" s="2" t="str" cm="1">
        <f t="array" ref="N246">_xlfn.IFS(Tabela1[[#This Row],[qtde_]]="N/A", "N/A",Tabela1[[#This Row],[qtde_]]&lt;11,"BAIXO",Tabela1[[#This Row],[qtde_]]&lt;26,"MÉDIO",Tabela1[[#This Row],[qtde_]]&gt;=26,"ALTO")</f>
        <v>ALTO</v>
      </c>
      <c r="O246" s="12" t="str">
        <f>IF(AND(Tabela1[[#This Row],[nivel_risco]]="ALTO",Tabela1[[#This Row],[flag_inadimplente]] = "Sim"),"negada","aprovada")</f>
        <v>negada</v>
      </c>
      <c r="P246" s="12" t="str">
        <f>IF(AND(Tabela1[[#This Row],[credito_tomado]]&gt;50000,Tabela1[[#This Row],[flag_inadimplente]]="Sim"),"negada","aprovada")</f>
        <v>negada</v>
      </c>
      <c r="Q246" s="6">
        <v>92500</v>
      </c>
      <c r="R246" s="12" t="str" cm="1">
        <f t="array" ref="R24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47" spans="1:18" ht="15.75" customHeight="1" x14ac:dyDescent="0.2">
      <c r="A247" s="2" t="s">
        <v>80</v>
      </c>
      <c r="B247" s="7" t="s">
        <v>543</v>
      </c>
      <c r="C247" s="1">
        <v>29900</v>
      </c>
      <c r="D247" s="1" t="str">
        <f>TEXT(C247,"000\.000\.000\-00")</f>
        <v>000.000.299-00</v>
      </c>
      <c r="E247" s="2">
        <v>46</v>
      </c>
      <c r="F247" s="3" t="s">
        <v>83</v>
      </c>
      <c r="G247" s="2" t="s">
        <v>112</v>
      </c>
      <c r="H247" s="7" t="s">
        <v>113</v>
      </c>
      <c r="I247" s="7" t="str">
        <f>PROPER(Tabela1[[#This Row],[regiao]])</f>
        <v>Norte</v>
      </c>
      <c r="J247" s="8">
        <v>21300</v>
      </c>
      <c r="K247" s="9">
        <v>60500</v>
      </c>
      <c r="L247" s="2" t="s">
        <v>83</v>
      </c>
      <c r="M247" s="2">
        <v>15</v>
      </c>
      <c r="N247" s="2" t="str" cm="1">
        <f t="array" ref="N247">_xlfn.IFS(Tabela1[[#This Row],[qtde_]]="N/A", "N/A",Tabela1[[#This Row],[qtde_]]&lt;11,"BAIXO",Tabela1[[#This Row],[qtde_]]&lt;26,"MÉDIO",Tabela1[[#This Row],[qtde_]]&gt;=26,"ALTO")</f>
        <v>MÉDIO</v>
      </c>
      <c r="O247" s="12" t="str">
        <f>IF(AND(Tabela1[[#This Row],[nivel_risco]]="ALTO",Tabela1[[#This Row],[flag_inadimplente]] = "Sim"),"negada","aprovada")</f>
        <v>aprovada</v>
      </c>
      <c r="P247" s="12" t="str">
        <f>IF(AND(Tabela1[[#This Row],[credito_tomado]]&gt;50000,Tabela1[[#This Row],[flag_inadimplente]]="Sim"),"negada","aprovada")</f>
        <v>aprovada</v>
      </c>
      <c r="Q247" s="6">
        <v>74500</v>
      </c>
      <c r="R247" s="12" t="str" cm="1">
        <f t="array" ref="R24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48" spans="1:18" ht="15.75" customHeight="1" x14ac:dyDescent="0.2">
      <c r="A248" s="2" t="s">
        <v>80</v>
      </c>
      <c r="B248" s="7" t="s">
        <v>544</v>
      </c>
      <c r="C248" s="1" t="s">
        <v>545</v>
      </c>
      <c r="D248" s="1" t="str">
        <f>TEXT(C248,"000\.000\.000\-00")</f>
        <v>000.000.363-00</v>
      </c>
      <c r="E248" s="2">
        <v>33</v>
      </c>
      <c r="F248" s="3">
        <v>34144</v>
      </c>
      <c r="G248" s="2" t="s">
        <v>215</v>
      </c>
      <c r="H248" s="7" t="s">
        <v>90</v>
      </c>
      <c r="I248" s="7" t="str">
        <f>PROPER(Tabela1[[#This Row],[regiao]])</f>
        <v>Terras Da Coroa</v>
      </c>
      <c r="J248" s="8">
        <v>21500</v>
      </c>
      <c r="K248" s="9">
        <v>0</v>
      </c>
      <c r="L248" s="2" t="s">
        <v>86</v>
      </c>
      <c r="M248" s="2">
        <v>22</v>
      </c>
      <c r="N248" s="2" t="str" cm="1">
        <f t="array" ref="N248">_xlfn.IFS(Tabela1[[#This Row],[qtde_]]="N/A", "N/A",Tabela1[[#This Row],[qtde_]]&lt;11,"BAIXO",Tabela1[[#This Row],[qtde_]]&lt;26,"MÉDIO",Tabela1[[#This Row],[qtde_]]&gt;=26,"ALTO")</f>
        <v>MÉDIO</v>
      </c>
      <c r="O248" s="12" t="str">
        <f>IF(AND(Tabela1[[#This Row],[nivel_risco]]="ALTO",Tabela1[[#This Row],[flag_inadimplente]] = "Sim"),"negada","aprovada")</f>
        <v>aprovada</v>
      </c>
      <c r="P248" s="12" t="str">
        <f>IF(AND(Tabela1[[#This Row],[credito_tomado]]&gt;50000,Tabela1[[#This Row],[flag_inadimplente]]="Sim"),"negada","aprovada")</f>
        <v>aprovada</v>
      </c>
      <c r="Q248" s="6">
        <v>51500</v>
      </c>
      <c r="R248" s="12" cm="1">
        <f t="array" ref="R24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4120</v>
      </c>
    </row>
    <row r="249" spans="1:18" ht="15.75" customHeight="1" x14ac:dyDescent="0.2">
      <c r="A249" s="2" t="s">
        <v>80</v>
      </c>
      <c r="B249" s="7" t="s">
        <v>546</v>
      </c>
      <c r="C249" s="1" t="s">
        <v>547</v>
      </c>
      <c r="D249" s="1" t="str">
        <f>TEXT(C249,"000\.000\.000\-00")</f>
        <v>000.000.133-00</v>
      </c>
      <c r="E249" s="2">
        <v>24</v>
      </c>
      <c r="F249" s="3">
        <v>37172</v>
      </c>
      <c r="G249" s="2" t="s">
        <v>144</v>
      </c>
      <c r="H249" s="7" t="s">
        <v>145</v>
      </c>
      <c r="I249" s="7" t="str">
        <f>PROPER(Tabela1[[#This Row],[regiao]])</f>
        <v>Vale</v>
      </c>
      <c r="J249" s="8">
        <v>21600</v>
      </c>
      <c r="K249" s="9">
        <v>25000</v>
      </c>
      <c r="L249" s="2" t="s">
        <v>86</v>
      </c>
      <c r="M249" s="2">
        <v>33</v>
      </c>
      <c r="N249" s="2" t="str" cm="1">
        <f t="array" ref="N249">_xlfn.IFS(Tabela1[[#This Row],[qtde_]]="N/A", "N/A",Tabela1[[#This Row],[qtde_]]&lt;11,"BAIXO",Tabela1[[#This Row],[qtde_]]&lt;26,"MÉDIO",Tabela1[[#This Row],[qtde_]]&gt;=26,"ALTO")</f>
        <v>ALTO</v>
      </c>
      <c r="O249" s="12" t="str">
        <f>IF(AND(Tabela1[[#This Row],[nivel_risco]]="ALTO",Tabela1[[#This Row],[flag_inadimplente]] = "Sim"),"negada","aprovada")</f>
        <v>aprovada</v>
      </c>
      <c r="P249" s="12" t="str">
        <f>IF(AND(Tabela1[[#This Row],[credito_tomado]]&gt;50000,Tabela1[[#This Row],[flag_inadimplente]]="Sim"),"negada","aprovada")</f>
        <v>aprovada</v>
      </c>
      <c r="Q249" s="6">
        <v>17500</v>
      </c>
      <c r="R249" s="12" cm="1">
        <f t="array" ref="R24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1400</v>
      </c>
    </row>
    <row r="250" spans="1:18" ht="15.75" customHeight="1" x14ac:dyDescent="0.2">
      <c r="A250" s="2" t="s">
        <v>80</v>
      </c>
      <c r="B250" s="7" t="s">
        <v>548</v>
      </c>
      <c r="C250" s="1" t="s">
        <v>549</v>
      </c>
      <c r="D250" s="1" t="str">
        <f>TEXT(C250,"000\.000\.000\-00")</f>
        <v>000.000.367-00</v>
      </c>
      <c r="E250" s="2">
        <v>67</v>
      </c>
      <c r="F250" s="3">
        <v>21497</v>
      </c>
      <c r="G250" s="2" t="s">
        <v>316</v>
      </c>
      <c r="H250" s="7" t="s">
        <v>162</v>
      </c>
      <c r="I250" s="7" t="str">
        <f>PROPER(Tabela1[[#This Row],[regiao]])</f>
        <v>Ilhas De Ferro</v>
      </c>
      <c r="J250" s="8">
        <v>21600</v>
      </c>
      <c r="K250" s="9">
        <v>73500</v>
      </c>
      <c r="L250" s="2" t="s">
        <v>101</v>
      </c>
      <c r="M250" s="2">
        <v>7</v>
      </c>
      <c r="N250" s="2" t="str" cm="1">
        <f t="array" ref="N250">_xlfn.IFS(Tabela1[[#This Row],[qtde_]]="N/A", "N/A",Tabela1[[#This Row],[qtde_]]&lt;11,"BAIXO",Tabela1[[#This Row],[qtde_]]&lt;26,"MÉDIO",Tabela1[[#This Row],[qtde_]]&gt;=26,"ALTO")</f>
        <v>BAIXO</v>
      </c>
      <c r="O250" s="12" t="str">
        <f>IF(AND(Tabela1[[#This Row],[nivel_risco]]="ALTO",Tabela1[[#This Row],[flag_inadimplente]] = "Sim"),"negada","aprovada")</f>
        <v>aprovada</v>
      </c>
      <c r="P250" s="12" t="str">
        <f>IF(AND(Tabela1[[#This Row],[credito_tomado]]&gt;50000,Tabela1[[#This Row],[flag_inadimplente]]="Sim"),"negada","aprovada")</f>
        <v>negada</v>
      </c>
      <c r="Q250" s="6">
        <v>24500</v>
      </c>
      <c r="R250" s="12" t="e" cm="1">
        <f t="array" ref="R25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51" spans="1:18" ht="15.75" customHeight="1" x14ac:dyDescent="0.2">
      <c r="A251" s="2" t="s">
        <v>80</v>
      </c>
      <c r="B251" s="7" t="s">
        <v>550</v>
      </c>
      <c r="C251" s="1">
        <v>18800</v>
      </c>
      <c r="D251" s="1" t="str">
        <f>TEXT(C251,"000\.000\.000\-00")</f>
        <v>000.000.188-00</v>
      </c>
      <c r="E251" s="2">
        <v>43</v>
      </c>
      <c r="F251" s="3">
        <v>30355</v>
      </c>
      <c r="G251" s="2" t="s">
        <v>156</v>
      </c>
      <c r="H251" s="7" t="s">
        <v>113</v>
      </c>
      <c r="I251" s="7" t="str">
        <f>PROPER(Tabela1[[#This Row],[regiao]])</f>
        <v>Norte</v>
      </c>
      <c r="J251" s="8">
        <v>21700</v>
      </c>
      <c r="K251" s="9">
        <v>31000</v>
      </c>
      <c r="L251" s="2" t="s">
        <v>86</v>
      </c>
      <c r="M251" s="2">
        <v>27</v>
      </c>
      <c r="N251" s="2" t="str" cm="1">
        <f t="array" ref="N251">_xlfn.IFS(Tabela1[[#This Row],[qtde_]]="N/A", "N/A",Tabela1[[#This Row],[qtde_]]&lt;11,"BAIXO",Tabela1[[#This Row],[qtde_]]&lt;26,"MÉDIO",Tabela1[[#This Row],[qtde_]]&gt;=26,"ALTO")</f>
        <v>ALTO</v>
      </c>
      <c r="O251" s="12" t="str">
        <f>IF(AND(Tabela1[[#This Row],[nivel_risco]]="ALTO",Tabela1[[#This Row],[flag_inadimplente]] = "Sim"),"negada","aprovada")</f>
        <v>aprovada</v>
      </c>
      <c r="P251" s="12" t="str">
        <f>IF(AND(Tabela1[[#This Row],[credito_tomado]]&gt;50000,Tabela1[[#This Row],[flag_inadimplente]]="Sim"),"negada","aprovada")</f>
        <v>aprovada</v>
      </c>
      <c r="Q251" s="6">
        <v>45500</v>
      </c>
      <c r="R251" s="12" cm="1">
        <f t="array" ref="R25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3640</v>
      </c>
    </row>
    <row r="252" spans="1:18" ht="15.75" customHeight="1" x14ac:dyDescent="0.2">
      <c r="A252" s="2" t="s">
        <v>80</v>
      </c>
      <c r="B252" s="7" t="s">
        <v>551</v>
      </c>
      <c r="C252" s="1" t="s">
        <v>552</v>
      </c>
      <c r="D252" s="1" t="str">
        <f>TEXT(C252,"000\.000\.000\-00")</f>
        <v>000.000.007-00</v>
      </c>
      <c r="E252" s="2">
        <v>44</v>
      </c>
      <c r="F252" s="3">
        <v>30069</v>
      </c>
      <c r="G252" s="2" t="s">
        <v>153</v>
      </c>
      <c r="H252" s="7" t="s">
        <v>141</v>
      </c>
      <c r="I252" s="7" t="str">
        <f>PROPER(Tabela1[[#This Row],[regiao]])</f>
        <v>Terras Fluviais</v>
      </c>
      <c r="J252" s="8">
        <v>21700</v>
      </c>
      <c r="K252" s="9">
        <v>34500</v>
      </c>
      <c r="L252" s="2" t="s">
        <v>86</v>
      </c>
      <c r="M252" s="2">
        <v>29</v>
      </c>
      <c r="N252" s="2" t="str" cm="1">
        <f t="array" ref="N252">_xlfn.IFS(Tabela1[[#This Row],[qtde_]]="N/A", "N/A",Tabela1[[#This Row],[qtde_]]&lt;11,"BAIXO",Tabela1[[#This Row],[qtde_]]&lt;26,"MÉDIO",Tabela1[[#This Row],[qtde_]]&gt;=26,"ALTO")</f>
        <v>ALTO</v>
      </c>
      <c r="O252" s="12" t="str">
        <f>IF(AND(Tabela1[[#This Row],[nivel_risco]]="ALTO",Tabela1[[#This Row],[flag_inadimplente]] = "Sim"),"negada","aprovada")</f>
        <v>aprovada</v>
      </c>
      <c r="P252" s="12" t="str">
        <f>IF(AND(Tabela1[[#This Row],[credito_tomado]]&gt;50000,Tabela1[[#This Row],[flag_inadimplente]]="Sim"),"negada","aprovada")</f>
        <v>aprovada</v>
      </c>
      <c r="Q252" s="6">
        <v>10500</v>
      </c>
      <c r="R252" s="12" cm="1">
        <f t="array" ref="R25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840</v>
      </c>
    </row>
    <row r="253" spans="1:18" ht="15.75" customHeight="1" x14ac:dyDescent="0.2">
      <c r="A253" s="2" t="s">
        <v>96</v>
      </c>
      <c r="B253" s="7" t="s">
        <v>553</v>
      </c>
      <c r="C253" s="1" t="s">
        <v>554</v>
      </c>
      <c r="D253" s="1" t="str">
        <f>TEXT(C253,"000\.000\.000\-00")</f>
        <v>000.000.324-00</v>
      </c>
      <c r="E253" s="2">
        <v>49</v>
      </c>
      <c r="F253" s="3">
        <v>28286</v>
      </c>
      <c r="G253" s="2" t="s">
        <v>94</v>
      </c>
      <c r="H253" s="7" t="s">
        <v>182</v>
      </c>
      <c r="I253" s="7" t="str">
        <f>PROPER(Tabela1[[#This Row],[regiao]])</f>
        <v>Ilhas De Ferro</v>
      </c>
      <c r="J253" s="8">
        <v>21900</v>
      </c>
      <c r="K253" s="9">
        <v>69000</v>
      </c>
      <c r="L253" s="2" t="s">
        <v>86</v>
      </c>
      <c r="M253" s="2">
        <v>4</v>
      </c>
      <c r="N253" s="2" t="str" cm="1">
        <f t="array" ref="N253">_xlfn.IFS(Tabela1[[#This Row],[qtde_]]="N/A", "N/A",Tabela1[[#This Row],[qtde_]]&lt;11,"BAIXO",Tabela1[[#This Row],[qtde_]]&lt;26,"MÉDIO",Tabela1[[#This Row],[qtde_]]&gt;=26,"ALTO")</f>
        <v>BAIXO</v>
      </c>
      <c r="O253" s="12" t="str">
        <f>IF(AND(Tabela1[[#This Row],[nivel_risco]]="ALTO",Tabela1[[#This Row],[flag_inadimplente]] = "Sim"),"negada","aprovada")</f>
        <v>aprovada</v>
      </c>
      <c r="P253" s="12" t="str">
        <f>IF(AND(Tabela1[[#This Row],[credito_tomado]]&gt;50000,Tabela1[[#This Row],[flag_inadimplente]]="Sim"),"negada","aprovada")</f>
        <v>aprovada</v>
      </c>
      <c r="Q253" s="6">
        <v>80500</v>
      </c>
      <c r="R253" s="12" t="e" cm="1">
        <f t="array" ref="R25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54" spans="1:18" ht="15.75" customHeight="1" x14ac:dyDescent="0.2">
      <c r="A254" s="2" t="s">
        <v>80</v>
      </c>
      <c r="B254" s="7" t="s">
        <v>555</v>
      </c>
      <c r="C254" s="1" t="s">
        <v>556</v>
      </c>
      <c r="D254" s="1" t="str">
        <f>TEXT(C254,"000\.000\.000\-00")</f>
        <v>000.000.365-00</v>
      </c>
      <c r="E254" s="2">
        <v>54</v>
      </c>
      <c r="F254" s="3">
        <v>26382</v>
      </c>
      <c r="G254" s="2" t="s">
        <v>104</v>
      </c>
      <c r="H254" s="7" t="s">
        <v>105</v>
      </c>
      <c r="I254" s="7" t="str">
        <f>PROPER(Tabela1[[#This Row],[regiao]])</f>
        <v>Terras Da Tempestade</v>
      </c>
      <c r="J254" s="8">
        <v>22100</v>
      </c>
      <c r="K254" s="9">
        <v>37000</v>
      </c>
      <c r="L254" s="2" t="s">
        <v>86</v>
      </c>
      <c r="M254" s="2">
        <v>34</v>
      </c>
      <c r="N254" s="2" t="str" cm="1">
        <f t="array" ref="N254">_xlfn.IFS(Tabela1[[#This Row],[qtde_]]="N/A", "N/A",Tabela1[[#This Row],[qtde_]]&lt;11,"BAIXO",Tabela1[[#This Row],[qtde_]]&lt;26,"MÉDIO",Tabela1[[#This Row],[qtde_]]&gt;=26,"ALTO")</f>
        <v>ALTO</v>
      </c>
      <c r="O254" s="12" t="str">
        <f>IF(AND(Tabela1[[#This Row],[nivel_risco]]="ALTO",Tabela1[[#This Row],[flag_inadimplente]] = "Sim"),"negada","aprovada")</f>
        <v>aprovada</v>
      </c>
      <c r="P254" s="12" t="str">
        <f>IF(AND(Tabela1[[#This Row],[credito_tomado]]&gt;50000,Tabela1[[#This Row],[flag_inadimplente]]="Sim"),"negada","aprovada")</f>
        <v>aprovada</v>
      </c>
      <c r="Q254" s="6">
        <v>87000</v>
      </c>
      <c r="R254" s="12" cm="1">
        <f t="array" ref="R25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6960</v>
      </c>
    </row>
    <row r="255" spans="1:18" ht="15.75" customHeight="1" x14ac:dyDescent="0.2">
      <c r="A255" s="2" t="s">
        <v>80</v>
      </c>
      <c r="B255" s="7" t="s">
        <v>557</v>
      </c>
      <c r="C255" s="1" t="s">
        <v>558</v>
      </c>
      <c r="D255" s="1" t="str">
        <f>TEXT(C255,"000\.000\.000\-00")</f>
        <v>000.000.067-00</v>
      </c>
      <c r="E255" s="2">
        <v>55</v>
      </c>
      <c r="F255" s="3">
        <v>26104</v>
      </c>
      <c r="G255" s="2" t="s">
        <v>94</v>
      </c>
      <c r="H255" s="7" t="s">
        <v>182</v>
      </c>
      <c r="I255" s="7" t="str">
        <f>PROPER(Tabela1[[#This Row],[regiao]])</f>
        <v>Ilhas De Ferro</v>
      </c>
      <c r="J255" s="8">
        <v>22100</v>
      </c>
      <c r="K255" s="9">
        <v>41500</v>
      </c>
      <c r="L255" s="2" t="s">
        <v>86</v>
      </c>
      <c r="M255" s="2">
        <v>18</v>
      </c>
      <c r="N255" s="2" t="str" cm="1">
        <f t="array" ref="N255">_xlfn.IFS(Tabela1[[#This Row],[qtde_]]="N/A", "N/A",Tabela1[[#This Row],[qtde_]]&lt;11,"BAIXO",Tabela1[[#This Row],[qtde_]]&lt;26,"MÉDIO",Tabela1[[#This Row],[qtde_]]&gt;=26,"ALTO")</f>
        <v>MÉDIO</v>
      </c>
      <c r="O255" s="12" t="str">
        <f>IF(AND(Tabela1[[#This Row],[nivel_risco]]="ALTO",Tabela1[[#This Row],[flag_inadimplente]] = "Sim"),"negada","aprovada")</f>
        <v>aprovada</v>
      </c>
      <c r="P255" s="12" t="str">
        <f>IF(AND(Tabela1[[#This Row],[credito_tomado]]&gt;50000,Tabela1[[#This Row],[flag_inadimplente]]="Sim"),"negada","aprovada")</f>
        <v>aprovada</v>
      </c>
      <c r="Q255" s="6">
        <v>65000</v>
      </c>
      <c r="R255" s="12" cm="1">
        <f t="array" ref="R25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5200</v>
      </c>
    </row>
    <row r="256" spans="1:18" ht="15.75" customHeight="1" x14ac:dyDescent="0.2">
      <c r="A256" s="2" t="s">
        <v>80</v>
      </c>
      <c r="B256" s="7" t="s">
        <v>559</v>
      </c>
      <c r="C256" s="1" t="s">
        <v>560</v>
      </c>
      <c r="D256" s="1" t="str">
        <f>TEXT(C256,"000\.000\.000\-00")</f>
        <v>000.000.312-00</v>
      </c>
      <c r="E256" s="2">
        <v>25</v>
      </c>
      <c r="F256" s="3">
        <v>36792</v>
      </c>
      <c r="G256" s="2" t="s">
        <v>144</v>
      </c>
      <c r="H256" s="7" t="s">
        <v>145</v>
      </c>
      <c r="I256" s="7" t="str">
        <f>PROPER(Tabela1[[#This Row],[regiao]])</f>
        <v>Vale</v>
      </c>
      <c r="J256" s="8">
        <v>22100</v>
      </c>
      <c r="K256" s="9">
        <v>30500</v>
      </c>
      <c r="L256" s="2" t="s">
        <v>86</v>
      </c>
      <c r="M256" s="2">
        <v>28</v>
      </c>
      <c r="N256" s="2" t="str" cm="1">
        <f t="array" ref="N256">_xlfn.IFS(Tabela1[[#This Row],[qtde_]]="N/A", "N/A",Tabela1[[#This Row],[qtde_]]&lt;11,"BAIXO",Tabela1[[#This Row],[qtde_]]&lt;26,"MÉDIO",Tabela1[[#This Row],[qtde_]]&gt;=26,"ALTO")</f>
        <v>ALTO</v>
      </c>
      <c r="O256" s="12" t="str">
        <f>IF(AND(Tabela1[[#This Row],[nivel_risco]]="ALTO",Tabela1[[#This Row],[flag_inadimplente]] = "Sim"),"negada","aprovada")</f>
        <v>aprovada</v>
      </c>
      <c r="P256" s="12" t="str">
        <f>IF(AND(Tabela1[[#This Row],[credito_tomado]]&gt;50000,Tabela1[[#This Row],[flag_inadimplente]]="Sim"),"negada","aprovada")</f>
        <v>aprovada</v>
      </c>
      <c r="Q256" s="6">
        <v>48000</v>
      </c>
      <c r="R256" s="12" cm="1">
        <f t="array" ref="R25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3840</v>
      </c>
    </row>
    <row r="257" spans="1:18" ht="15.75" customHeight="1" x14ac:dyDescent="0.2">
      <c r="A257" s="2" t="s">
        <v>96</v>
      </c>
      <c r="B257" s="7" t="s">
        <v>308</v>
      </c>
      <c r="C257" s="1" t="s">
        <v>561</v>
      </c>
      <c r="D257" s="1" t="str">
        <f>TEXT(C257,"000\.000\.000\-00")</f>
        <v>000.000.294-00</v>
      </c>
      <c r="E257" s="2">
        <v>39</v>
      </c>
      <c r="F257" s="3">
        <v>31693</v>
      </c>
      <c r="G257" s="2" t="s">
        <v>118</v>
      </c>
      <c r="H257" s="7" t="s">
        <v>119</v>
      </c>
      <c r="I257" s="7" t="str">
        <f>PROPER(Tabela1[[#This Row],[regiao]])</f>
        <v>Oeste</v>
      </c>
      <c r="J257" s="8">
        <v>22200</v>
      </c>
      <c r="K257" s="9">
        <v>0</v>
      </c>
      <c r="L257" s="2" t="s">
        <v>101</v>
      </c>
      <c r="M257" s="2">
        <v>3</v>
      </c>
      <c r="N257" s="2" t="str" cm="1">
        <f t="array" ref="N257">_xlfn.IFS(Tabela1[[#This Row],[qtde_]]="N/A", "N/A",Tabela1[[#This Row],[qtde_]]&lt;11,"BAIXO",Tabela1[[#This Row],[qtde_]]&lt;26,"MÉDIO",Tabela1[[#This Row],[qtde_]]&gt;=26,"ALTO")</f>
        <v>BAIXO</v>
      </c>
      <c r="O257" s="12" t="str">
        <f>IF(AND(Tabela1[[#This Row],[nivel_risco]]="ALTO",Tabela1[[#This Row],[flag_inadimplente]] = "Sim"),"negada","aprovada")</f>
        <v>aprovada</v>
      </c>
      <c r="P257" s="12" t="str">
        <f>IF(AND(Tabela1[[#This Row],[credito_tomado]]&gt;50000,Tabela1[[#This Row],[flag_inadimplente]]="Sim"),"negada","aprovada")</f>
        <v>aprovada</v>
      </c>
      <c r="Q257" s="6">
        <v>7000</v>
      </c>
      <c r="R257" s="12" t="e" cm="1">
        <f t="array" ref="R25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58" spans="1:18" ht="15.75" customHeight="1" x14ac:dyDescent="0.2">
      <c r="A258" s="2" t="s">
        <v>80</v>
      </c>
      <c r="B258" s="7" t="s">
        <v>562</v>
      </c>
      <c r="C258" s="1" t="s">
        <v>563</v>
      </c>
      <c r="D258" s="1" t="str">
        <f>TEXT(C258,"000\.000\.000\-00")</f>
        <v>000.000.055-00</v>
      </c>
      <c r="E258" s="2" t="s">
        <v>83</v>
      </c>
      <c r="F258" s="3">
        <v>36337</v>
      </c>
      <c r="G258" s="2" t="s">
        <v>267</v>
      </c>
      <c r="H258" s="7" t="s">
        <v>113</v>
      </c>
      <c r="I258" s="7" t="str">
        <f>PROPER(Tabela1[[#This Row],[regiao]])</f>
        <v>Norte</v>
      </c>
      <c r="J258" s="8">
        <v>22500</v>
      </c>
      <c r="K258" s="9">
        <v>55500</v>
      </c>
      <c r="L258" s="2" t="s">
        <v>86</v>
      </c>
      <c r="M258" s="2">
        <v>32</v>
      </c>
      <c r="N258" s="2" t="str" cm="1">
        <f t="array" ref="N258">_xlfn.IFS(Tabela1[[#This Row],[qtde_]]="N/A", "N/A",Tabela1[[#This Row],[qtde_]]&lt;11,"BAIXO",Tabela1[[#This Row],[qtde_]]&lt;26,"MÉDIO",Tabela1[[#This Row],[qtde_]]&gt;=26,"ALTO")</f>
        <v>ALTO</v>
      </c>
      <c r="O258" s="12" t="str">
        <f>IF(AND(Tabela1[[#This Row],[nivel_risco]]="ALTO",Tabela1[[#This Row],[flag_inadimplente]] = "Sim"),"negada","aprovada")</f>
        <v>aprovada</v>
      </c>
      <c r="P258" s="12" t="str">
        <f>IF(AND(Tabela1[[#This Row],[credito_tomado]]&gt;50000,Tabela1[[#This Row],[flag_inadimplente]]="Sim"),"negada","aprovada")</f>
        <v>aprovada</v>
      </c>
      <c r="Q258" s="6">
        <v>91500</v>
      </c>
      <c r="R258" s="12" cm="1">
        <f t="array" ref="R25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7320</v>
      </c>
    </row>
    <row r="259" spans="1:18" ht="15.75" customHeight="1" x14ac:dyDescent="0.2">
      <c r="A259" s="2" t="s">
        <v>96</v>
      </c>
      <c r="B259" s="7" t="s">
        <v>564</v>
      </c>
      <c r="C259" s="1" t="s">
        <v>565</v>
      </c>
      <c r="D259" s="1" t="str">
        <f>TEXT(C259,"000\.000\.000\-00")</f>
        <v>000.000.211-00</v>
      </c>
      <c r="E259" s="2">
        <v>31</v>
      </c>
      <c r="F259" s="3">
        <v>34738</v>
      </c>
      <c r="G259" s="2" t="s">
        <v>206</v>
      </c>
      <c r="H259" s="7" t="s">
        <v>85</v>
      </c>
      <c r="I259" s="7" t="str">
        <f>PROPER(Tabela1[[#This Row],[regiao]])</f>
        <v>Campina</v>
      </c>
      <c r="J259" s="8">
        <v>22600</v>
      </c>
      <c r="K259" s="9">
        <v>58000</v>
      </c>
      <c r="L259" s="2" t="s">
        <v>86</v>
      </c>
      <c r="M259" s="2">
        <v>5</v>
      </c>
      <c r="N259" s="2" t="str" cm="1">
        <f t="array" ref="N259">_xlfn.IFS(Tabela1[[#This Row],[qtde_]]="N/A", "N/A",Tabela1[[#This Row],[qtde_]]&lt;11,"BAIXO",Tabela1[[#This Row],[qtde_]]&lt;26,"MÉDIO",Tabela1[[#This Row],[qtde_]]&gt;=26,"ALTO")</f>
        <v>BAIXO</v>
      </c>
      <c r="O259" s="12" t="str">
        <f>IF(AND(Tabela1[[#This Row],[nivel_risco]]="ALTO",Tabela1[[#This Row],[flag_inadimplente]] = "Sim"),"negada","aprovada")</f>
        <v>aprovada</v>
      </c>
      <c r="P259" s="12" t="str">
        <f>IF(AND(Tabela1[[#This Row],[credito_tomado]]&gt;50000,Tabela1[[#This Row],[flag_inadimplente]]="Sim"),"negada","aprovada")</f>
        <v>aprovada</v>
      </c>
      <c r="Q259" s="6">
        <v>26500</v>
      </c>
      <c r="R259" s="12" t="e" cm="1">
        <f t="array" ref="R25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60" spans="1:18" ht="15.75" customHeight="1" x14ac:dyDescent="0.2">
      <c r="A260" s="2" t="s">
        <v>80</v>
      </c>
      <c r="B260" s="7" t="s">
        <v>566</v>
      </c>
      <c r="C260" s="1" t="s">
        <v>567</v>
      </c>
      <c r="D260" s="1" t="str">
        <f>TEXT(C260,"000\.000\.000\-00")</f>
        <v>000.000.093-00</v>
      </c>
      <c r="E260" s="2">
        <v>56</v>
      </c>
      <c r="F260" s="3">
        <v>25551</v>
      </c>
      <c r="G260" s="2" t="s">
        <v>115</v>
      </c>
      <c r="H260" s="7" t="s">
        <v>115</v>
      </c>
      <c r="I260" s="7" t="str">
        <f>PROPER(Tabela1[[#This Row],[regiao]])</f>
        <v>Dorne</v>
      </c>
      <c r="J260" s="8">
        <v>22600</v>
      </c>
      <c r="K260" s="9">
        <v>63000</v>
      </c>
      <c r="L260" s="2" t="s">
        <v>86</v>
      </c>
      <c r="M260" s="2">
        <v>33</v>
      </c>
      <c r="N260" s="2" t="str" cm="1">
        <f t="array" ref="N260">_xlfn.IFS(Tabela1[[#This Row],[qtde_]]="N/A", "N/A",Tabela1[[#This Row],[qtde_]]&lt;11,"BAIXO",Tabela1[[#This Row],[qtde_]]&lt;26,"MÉDIO",Tabela1[[#This Row],[qtde_]]&gt;=26,"ALTO")</f>
        <v>ALTO</v>
      </c>
      <c r="O260" s="12" t="str">
        <f>IF(AND(Tabela1[[#This Row],[nivel_risco]]="ALTO",Tabela1[[#This Row],[flag_inadimplente]] = "Sim"),"negada","aprovada")</f>
        <v>aprovada</v>
      </c>
      <c r="P260" s="12" t="str">
        <f>IF(AND(Tabela1[[#This Row],[credito_tomado]]&gt;50000,Tabela1[[#This Row],[flag_inadimplente]]="Sim"),"negada","aprovada")</f>
        <v>aprovada</v>
      </c>
      <c r="Q260" s="6">
        <v>53000</v>
      </c>
      <c r="R260" s="12" cm="1">
        <f t="array" ref="R26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4240</v>
      </c>
    </row>
    <row r="261" spans="1:18" ht="15.75" customHeight="1" x14ac:dyDescent="0.2">
      <c r="A261" s="2" t="s">
        <v>80</v>
      </c>
      <c r="B261" s="7" t="s">
        <v>548</v>
      </c>
      <c r="C261" s="1" t="s">
        <v>568</v>
      </c>
      <c r="D261" s="1" t="str">
        <f>TEXT(C261,"000\.000\.000\-00")</f>
        <v>000.000.010-00</v>
      </c>
      <c r="E261" s="2">
        <v>60</v>
      </c>
      <c r="F261" s="3">
        <v>24054</v>
      </c>
      <c r="G261" s="2" t="s">
        <v>144</v>
      </c>
      <c r="H261" s="7" t="s">
        <v>177</v>
      </c>
      <c r="I261" s="7" t="str">
        <f>PROPER(Tabela1[[#This Row],[regiao]])</f>
        <v>Vale</v>
      </c>
      <c r="J261" s="8">
        <v>22600</v>
      </c>
      <c r="K261" s="9">
        <v>80000</v>
      </c>
      <c r="L261" s="2" t="s">
        <v>86</v>
      </c>
      <c r="M261" s="2">
        <v>9</v>
      </c>
      <c r="N261" s="2" t="str" cm="1">
        <f t="array" ref="N261">_xlfn.IFS(Tabela1[[#This Row],[qtde_]]="N/A", "N/A",Tabela1[[#This Row],[qtde_]]&lt;11,"BAIXO",Tabela1[[#This Row],[qtde_]]&lt;26,"MÉDIO",Tabela1[[#This Row],[qtde_]]&gt;=26,"ALTO")</f>
        <v>BAIXO</v>
      </c>
      <c r="O261" s="12" t="str">
        <f>IF(AND(Tabela1[[#This Row],[nivel_risco]]="ALTO",Tabela1[[#This Row],[flag_inadimplente]] = "Sim"),"negada","aprovada")</f>
        <v>aprovada</v>
      </c>
      <c r="P261" s="12" t="str">
        <f>IF(AND(Tabela1[[#This Row],[credito_tomado]]&gt;50000,Tabela1[[#This Row],[flag_inadimplente]]="Sim"),"negada","aprovada")</f>
        <v>aprovada</v>
      </c>
      <c r="Q261" s="6">
        <v>58500</v>
      </c>
      <c r="R261" s="12" cm="1">
        <f t="array" ref="R26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4680</v>
      </c>
    </row>
    <row r="262" spans="1:18" ht="15.75" customHeight="1" x14ac:dyDescent="0.2">
      <c r="A262" s="2" t="s">
        <v>80</v>
      </c>
      <c r="B262" s="7" t="s">
        <v>569</v>
      </c>
      <c r="C262" s="1" t="s">
        <v>570</v>
      </c>
      <c r="D262" s="1" t="str">
        <f>TEXT(C262,"000\.000\.000\-00")</f>
        <v>000.000.309-00</v>
      </c>
      <c r="E262" s="2">
        <v>47</v>
      </c>
      <c r="F262" s="3">
        <v>28802</v>
      </c>
      <c r="G262" s="2" t="s">
        <v>108</v>
      </c>
      <c r="H262" s="7" t="s">
        <v>159</v>
      </c>
      <c r="I262" s="7" t="str">
        <f>PROPER(Tabela1[[#This Row],[regiao]])</f>
        <v>Gargalo</v>
      </c>
      <c r="J262" s="8">
        <v>22700</v>
      </c>
      <c r="K262" s="9">
        <v>8500</v>
      </c>
      <c r="L262" s="2" t="s">
        <v>83</v>
      </c>
      <c r="M262" s="2">
        <v>35</v>
      </c>
      <c r="N262" s="2" t="str" cm="1">
        <f t="array" ref="N262">_xlfn.IFS(Tabela1[[#This Row],[qtde_]]="N/A", "N/A",Tabela1[[#This Row],[qtde_]]&lt;11,"BAIXO",Tabela1[[#This Row],[qtde_]]&lt;26,"MÉDIO",Tabela1[[#This Row],[qtde_]]&gt;=26,"ALTO")</f>
        <v>ALTO</v>
      </c>
      <c r="O262" s="12" t="str">
        <f>IF(AND(Tabela1[[#This Row],[nivel_risco]]="ALTO",Tabela1[[#This Row],[flag_inadimplente]] = "Sim"),"negada","aprovada")</f>
        <v>aprovada</v>
      </c>
      <c r="P262" s="12" t="str">
        <f>IF(AND(Tabela1[[#This Row],[credito_tomado]]&gt;50000,Tabela1[[#This Row],[flag_inadimplente]]="Sim"),"negada","aprovada")</f>
        <v>aprovada</v>
      </c>
      <c r="Q262" s="6">
        <v>23500</v>
      </c>
      <c r="R262" s="12" t="str" cm="1">
        <f t="array" ref="R26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63" spans="1:18" ht="15.75" customHeight="1" x14ac:dyDescent="0.2">
      <c r="A263" s="2" t="s">
        <v>80</v>
      </c>
      <c r="B263" s="7" t="s">
        <v>571</v>
      </c>
      <c r="C263" s="1" t="s">
        <v>572</v>
      </c>
      <c r="D263" s="1" t="str">
        <f>TEXT(C263,"000\.000\.000\-00")</f>
        <v>000.000.012-00</v>
      </c>
      <c r="E263" s="2">
        <v>53</v>
      </c>
      <c r="F263" s="3">
        <v>26631</v>
      </c>
      <c r="G263" s="2" t="s">
        <v>108</v>
      </c>
      <c r="H263" s="7" t="s">
        <v>109</v>
      </c>
      <c r="I263" s="7" t="str">
        <f>PROPER(Tabela1[[#This Row],[regiao]])</f>
        <v>Gargalo</v>
      </c>
      <c r="J263" s="8">
        <v>22700</v>
      </c>
      <c r="K263" s="9">
        <v>42500</v>
      </c>
      <c r="L263" s="2" t="s">
        <v>101</v>
      </c>
      <c r="M263" s="2">
        <v>25</v>
      </c>
      <c r="N263" s="2" t="str" cm="1">
        <f t="array" ref="N263">_xlfn.IFS(Tabela1[[#This Row],[qtde_]]="N/A", "N/A",Tabela1[[#This Row],[qtde_]]&lt;11,"BAIXO",Tabela1[[#This Row],[qtde_]]&lt;26,"MÉDIO",Tabela1[[#This Row],[qtde_]]&gt;=26,"ALTO")</f>
        <v>MÉDIO</v>
      </c>
      <c r="O263" s="12" t="str">
        <f>IF(AND(Tabela1[[#This Row],[nivel_risco]]="ALTO",Tabela1[[#This Row],[flag_inadimplente]] = "Sim"),"negada","aprovada")</f>
        <v>aprovada</v>
      </c>
      <c r="P263" s="12" t="str">
        <f>IF(AND(Tabela1[[#This Row],[credito_tomado]]&gt;50000,Tabela1[[#This Row],[flag_inadimplente]]="Sim"),"negada","aprovada")</f>
        <v>aprovada</v>
      </c>
      <c r="Q263" s="6">
        <v>86000</v>
      </c>
      <c r="R263" s="12" cm="1">
        <f t="array" ref="R26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6880</v>
      </c>
    </row>
    <row r="264" spans="1:18" ht="15.75" customHeight="1" x14ac:dyDescent="0.2">
      <c r="A264" s="2" t="s">
        <v>80</v>
      </c>
      <c r="B264" s="7" t="s">
        <v>573</v>
      </c>
      <c r="C264" s="1" t="s">
        <v>574</v>
      </c>
      <c r="D264" s="1" t="str">
        <f>TEXT(C264,"000\.000\.000\-00")</f>
        <v>000.000.225-00</v>
      </c>
      <c r="E264" s="2">
        <v>45</v>
      </c>
      <c r="F264" s="3">
        <v>29598</v>
      </c>
      <c r="G264" s="2" t="s">
        <v>118</v>
      </c>
      <c r="H264" s="7" t="s">
        <v>201</v>
      </c>
      <c r="I264" s="7" t="str">
        <f>PROPER(Tabela1[[#This Row],[regiao]])</f>
        <v>Oeste</v>
      </c>
      <c r="J264" s="8">
        <v>22800</v>
      </c>
      <c r="K264" s="9" t="s">
        <v>83</v>
      </c>
      <c r="L264" s="2" t="s">
        <v>86</v>
      </c>
      <c r="M264" s="2">
        <v>10</v>
      </c>
      <c r="N264" s="2" t="str" cm="1">
        <f t="array" ref="N264">_xlfn.IFS(Tabela1[[#This Row],[qtde_]]="N/A", "N/A",Tabela1[[#This Row],[qtde_]]&lt;11,"BAIXO",Tabela1[[#This Row],[qtde_]]&lt;26,"MÉDIO",Tabela1[[#This Row],[qtde_]]&gt;=26,"ALTO")</f>
        <v>BAIXO</v>
      </c>
      <c r="O264" s="12" t="str">
        <f>IF(AND(Tabela1[[#This Row],[nivel_risco]]="ALTO",Tabela1[[#This Row],[flag_inadimplente]] = "Sim"),"negada","aprovada")</f>
        <v>aprovada</v>
      </c>
      <c r="P264" s="12" t="str">
        <f>IF(AND(Tabela1[[#This Row],[credito_tomado]]&gt;50000,Tabela1[[#This Row],[flag_inadimplente]]="Sim"),"negada","aprovada")</f>
        <v>aprovada</v>
      </c>
      <c r="Q264" s="6">
        <v>31000</v>
      </c>
      <c r="R264" s="12" t="str" cm="1">
        <f t="array" ref="R26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65" spans="1:18" ht="15.75" customHeight="1" x14ac:dyDescent="0.2">
      <c r="A265" s="2" t="s">
        <v>80</v>
      </c>
      <c r="B265" s="7" t="s">
        <v>575</v>
      </c>
      <c r="C265" s="1" t="s">
        <v>576</v>
      </c>
      <c r="D265" s="1" t="str">
        <f>TEXT(C265,"000\.000\.000\-00")</f>
        <v>000.000.375-00</v>
      </c>
      <c r="E265" s="2">
        <v>26</v>
      </c>
      <c r="F265" s="3">
        <v>36622</v>
      </c>
      <c r="G265" s="2" t="s">
        <v>115</v>
      </c>
      <c r="H265" s="7" t="s">
        <v>115</v>
      </c>
      <c r="I265" s="7" t="str">
        <f>PROPER(Tabela1[[#This Row],[regiao]])</f>
        <v>Dorne</v>
      </c>
      <c r="J265" s="8">
        <v>22900</v>
      </c>
      <c r="K265" s="9">
        <v>65500</v>
      </c>
      <c r="L265" s="2" t="s">
        <v>101</v>
      </c>
      <c r="M265" s="2">
        <v>40</v>
      </c>
      <c r="N265" s="2" t="str" cm="1">
        <f t="array" ref="N265">_xlfn.IFS(Tabela1[[#This Row],[qtde_]]="N/A", "N/A",Tabela1[[#This Row],[qtde_]]&lt;11,"BAIXO",Tabela1[[#This Row],[qtde_]]&lt;26,"MÉDIO",Tabela1[[#This Row],[qtde_]]&gt;=26,"ALTO")</f>
        <v>ALTO</v>
      </c>
      <c r="O265" s="12" t="str">
        <f>IF(AND(Tabela1[[#This Row],[nivel_risco]]="ALTO",Tabela1[[#This Row],[flag_inadimplente]] = "Sim"),"negada","aprovada")</f>
        <v>negada</v>
      </c>
      <c r="P265" s="12" t="str">
        <f>IF(AND(Tabela1[[#This Row],[credito_tomado]]&gt;50000,Tabela1[[#This Row],[flag_inadimplente]]="Sim"),"negada","aprovada")</f>
        <v>negada</v>
      </c>
      <c r="Q265" s="6">
        <v>95500</v>
      </c>
      <c r="R265" s="12" t="str" cm="1">
        <f t="array" ref="R26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66" spans="1:18" ht="15.75" customHeight="1" x14ac:dyDescent="0.2">
      <c r="A266" s="2" t="s">
        <v>80</v>
      </c>
      <c r="B266" s="7" t="s">
        <v>577</v>
      </c>
      <c r="C266" s="1">
        <v>36900</v>
      </c>
      <c r="D266" s="1" t="str">
        <f>TEXT(C266,"000\.000\.000\-00")</f>
        <v>000.000.369-00</v>
      </c>
      <c r="E266" s="2">
        <v>61</v>
      </c>
      <c r="F266" s="3">
        <v>23928</v>
      </c>
      <c r="G266" s="2" t="s">
        <v>197</v>
      </c>
      <c r="H266" s="7" t="s">
        <v>105</v>
      </c>
      <c r="I266" s="7" t="str">
        <f>PROPER(Tabela1[[#This Row],[regiao]])</f>
        <v>Terras Da Tempestade</v>
      </c>
      <c r="J266" s="8">
        <v>22900</v>
      </c>
      <c r="K266" s="9">
        <v>7500</v>
      </c>
      <c r="L266" s="2" t="s">
        <v>86</v>
      </c>
      <c r="M266" s="2">
        <v>12</v>
      </c>
      <c r="N266" s="2" t="str" cm="1">
        <f t="array" ref="N266">_xlfn.IFS(Tabela1[[#This Row],[qtde_]]="N/A", "N/A",Tabela1[[#This Row],[qtde_]]&lt;11,"BAIXO",Tabela1[[#This Row],[qtde_]]&lt;26,"MÉDIO",Tabela1[[#This Row],[qtde_]]&gt;=26,"ALTO")</f>
        <v>MÉDIO</v>
      </c>
      <c r="O266" s="12" t="str">
        <f>IF(AND(Tabela1[[#This Row],[nivel_risco]]="ALTO",Tabela1[[#This Row],[flag_inadimplente]] = "Sim"),"negada","aprovada")</f>
        <v>aprovada</v>
      </c>
      <c r="P266" s="12" t="str">
        <f>IF(AND(Tabela1[[#This Row],[credito_tomado]]&gt;50000,Tabela1[[#This Row],[flag_inadimplente]]="Sim"),"negada","aprovada")</f>
        <v>aprovada</v>
      </c>
      <c r="Q266" s="6">
        <v>73000</v>
      </c>
      <c r="R266" s="12" cm="1">
        <f t="array" ref="R26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5840</v>
      </c>
    </row>
    <row r="267" spans="1:18" ht="15.75" customHeight="1" x14ac:dyDescent="0.2">
      <c r="A267" s="2" t="s">
        <v>80</v>
      </c>
      <c r="B267" s="7" t="s">
        <v>578</v>
      </c>
      <c r="C267" s="1" t="s">
        <v>579</v>
      </c>
      <c r="D267" s="1" t="str">
        <f>TEXT(C267,"000\.000\.000\-00")</f>
        <v>000.000.354-00</v>
      </c>
      <c r="E267" s="2">
        <v>60</v>
      </c>
      <c r="F267" s="3">
        <v>24021</v>
      </c>
      <c r="G267" s="2" t="s">
        <v>267</v>
      </c>
      <c r="H267" s="7" t="s">
        <v>100</v>
      </c>
      <c r="I267" s="7" t="str">
        <f>PROPER(Tabela1[[#This Row],[regiao]])</f>
        <v>Norte</v>
      </c>
      <c r="J267" s="8">
        <v>22900</v>
      </c>
      <c r="K267" s="9">
        <v>4500</v>
      </c>
      <c r="L267" s="2" t="s">
        <v>101</v>
      </c>
      <c r="M267" s="2">
        <v>29</v>
      </c>
      <c r="N267" s="2" t="str" cm="1">
        <f t="array" ref="N267">_xlfn.IFS(Tabela1[[#This Row],[qtde_]]="N/A", "N/A",Tabela1[[#This Row],[qtde_]]&lt;11,"BAIXO",Tabela1[[#This Row],[qtde_]]&lt;26,"MÉDIO",Tabela1[[#This Row],[qtde_]]&gt;=26,"ALTO")</f>
        <v>ALTO</v>
      </c>
      <c r="O267" s="12" t="str">
        <f>IF(AND(Tabela1[[#This Row],[nivel_risco]]="ALTO",Tabela1[[#This Row],[flag_inadimplente]] = "Sim"),"negada","aprovada")</f>
        <v>negada</v>
      </c>
      <c r="P267" s="12" t="str">
        <f>IF(AND(Tabela1[[#This Row],[credito_tomado]]&gt;50000,Tabela1[[#This Row],[flag_inadimplente]]="Sim"),"negada","aprovada")</f>
        <v>aprovada</v>
      </c>
      <c r="Q267" s="6">
        <v>43500</v>
      </c>
      <c r="R267" s="12" t="e" cm="1">
        <f t="array" ref="R26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68" spans="1:18" ht="15.75" customHeight="1" x14ac:dyDescent="0.2">
      <c r="A268" s="2" t="s">
        <v>80</v>
      </c>
      <c r="B268" s="7" t="s">
        <v>577</v>
      </c>
      <c r="C268" s="1">
        <v>36900</v>
      </c>
      <c r="D268" s="1" t="str">
        <f>TEXT(C268,"000\.000\.000\-00")</f>
        <v>000.000.369-00</v>
      </c>
      <c r="E268" s="2">
        <v>61</v>
      </c>
      <c r="F268" s="3">
        <v>23928</v>
      </c>
      <c r="G268" s="2" t="s">
        <v>197</v>
      </c>
      <c r="H268" s="7" t="s">
        <v>105</v>
      </c>
      <c r="I268" s="7" t="str">
        <f>PROPER(Tabela1[[#This Row],[regiao]])</f>
        <v>Terras Da Tempestade</v>
      </c>
      <c r="J268" s="8">
        <v>22900</v>
      </c>
      <c r="K268" s="9">
        <v>7500</v>
      </c>
      <c r="L268" s="2" t="s">
        <v>86</v>
      </c>
      <c r="M268" s="2">
        <v>12</v>
      </c>
      <c r="N268" s="2" t="str" cm="1">
        <f t="array" ref="N268">_xlfn.IFS(Tabela1[[#This Row],[qtde_]]="N/A", "N/A",Tabela1[[#This Row],[qtde_]]&lt;11,"BAIXO",Tabela1[[#This Row],[qtde_]]&lt;26,"MÉDIO",Tabela1[[#This Row],[qtde_]]&gt;=26,"ALTO")</f>
        <v>MÉDIO</v>
      </c>
      <c r="O268" s="12" t="str">
        <f>IF(AND(Tabela1[[#This Row],[nivel_risco]]="ALTO",Tabela1[[#This Row],[flag_inadimplente]] = "Sim"),"negada","aprovada")</f>
        <v>aprovada</v>
      </c>
      <c r="P268" s="12" t="str">
        <f>IF(AND(Tabela1[[#This Row],[credito_tomado]]&gt;50000,Tabela1[[#This Row],[flag_inadimplente]]="Sim"),"negada","aprovada")</f>
        <v>aprovada</v>
      </c>
      <c r="Q268" s="6">
        <v>33000</v>
      </c>
      <c r="R268" s="12" cm="1">
        <f t="array" ref="R26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2640</v>
      </c>
    </row>
    <row r="269" spans="1:18" ht="15.75" customHeight="1" x14ac:dyDescent="0.2">
      <c r="A269" s="2" t="s">
        <v>96</v>
      </c>
      <c r="B269" s="7" t="s">
        <v>580</v>
      </c>
      <c r="C269" s="1" t="s">
        <v>581</v>
      </c>
      <c r="D269" s="1" t="str">
        <f>TEXT(C269,"000\.000\.000\-00")</f>
        <v>000.000.024-00</v>
      </c>
      <c r="E269" s="2">
        <v>61</v>
      </c>
      <c r="F269" s="3">
        <v>23667</v>
      </c>
      <c r="G269" s="2" t="s">
        <v>138</v>
      </c>
      <c r="H269" s="7" t="s">
        <v>139</v>
      </c>
      <c r="I269" s="7" t="str">
        <f>PROPER(Tabela1[[#This Row],[regiao]])</f>
        <v>Essos</v>
      </c>
      <c r="J269" s="8">
        <v>23000</v>
      </c>
      <c r="K269" s="9">
        <v>44500</v>
      </c>
      <c r="L269" s="2" t="s">
        <v>101</v>
      </c>
      <c r="M269" s="2">
        <v>32</v>
      </c>
      <c r="N269" s="2" t="str" cm="1">
        <f t="array" ref="N269">_xlfn.IFS(Tabela1[[#This Row],[qtde_]]="N/A", "N/A",Tabela1[[#This Row],[qtde_]]&lt;11,"BAIXO",Tabela1[[#This Row],[qtde_]]&lt;26,"MÉDIO",Tabela1[[#This Row],[qtde_]]&gt;=26,"ALTO")</f>
        <v>ALTO</v>
      </c>
      <c r="O269" s="12" t="str">
        <f>IF(AND(Tabela1[[#This Row],[nivel_risco]]="ALTO",Tabela1[[#This Row],[flag_inadimplente]] = "Sim"),"negada","aprovada")</f>
        <v>negada</v>
      </c>
      <c r="P269" s="12" t="str">
        <f>IF(AND(Tabela1[[#This Row],[credito_tomado]]&gt;50000,Tabela1[[#This Row],[flag_inadimplente]]="Sim"),"negada","aprovada")</f>
        <v>aprovada</v>
      </c>
      <c r="Q269" s="6">
        <v>2000</v>
      </c>
      <c r="R269" s="12" t="e" cm="1">
        <f t="array" ref="R26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70" spans="1:18" ht="15.75" customHeight="1" x14ac:dyDescent="0.2">
      <c r="A270" s="2" t="s">
        <v>80</v>
      </c>
      <c r="B270" s="7" t="s">
        <v>582</v>
      </c>
      <c r="C270" s="1" t="s">
        <v>583</v>
      </c>
      <c r="D270" s="1" t="str">
        <f>TEXT(C270,"000\.000\.000\-00")</f>
        <v>000.000.259-00</v>
      </c>
      <c r="E270" s="2">
        <v>73</v>
      </c>
      <c r="F270" s="3">
        <v>19363</v>
      </c>
      <c r="G270" s="2" t="s">
        <v>84</v>
      </c>
      <c r="H270" s="7" t="s">
        <v>85</v>
      </c>
      <c r="I270" s="7" t="str">
        <f>PROPER(Tabela1[[#This Row],[regiao]])</f>
        <v>Campina</v>
      </c>
      <c r="J270" s="8">
        <v>23000</v>
      </c>
      <c r="K270" s="9">
        <v>19000</v>
      </c>
      <c r="L270" s="2" t="s">
        <v>86</v>
      </c>
      <c r="M270" s="2">
        <v>0</v>
      </c>
      <c r="N270" s="2" t="str" cm="1">
        <f t="array" ref="N270">_xlfn.IFS(Tabela1[[#This Row],[qtde_]]="N/A", "N/A",Tabela1[[#This Row],[qtde_]]&lt;11,"BAIXO",Tabela1[[#This Row],[qtde_]]&lt;26,"MÉDIO",Tabela1[[#This Row],[qtde_]]&gt;=26,"ALTO")</f>
        <v>BAIXO</v>
      </c>
      <c r="O270" s="12" t="str">
        <f>IF(AND(Tabela1[[#This Row],[nivel_risco]]="ALTO",Tabela1[[#This Row],[flag_inadimplente]] = "Sim"),"negada","aprovada")</f>
        <v>aprovada</v>
      </c>
      <c r="P270" s="12" t="str">
        <f>IF(AND(Tabela1[[#This Row],[credito_tomado]]&gt;50000,Tabela1[[#This Row],[flag_inadimplente]]="Sim"),"negada","aprovada")</f>
        <v>aprovada</v>
      </c>
      <c r="Q270" s="6">
        <v>17000</v>
      </c>
      <c r="R270" s="12" cm="1">
        <f t="array" ref="R27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1360</v>
      </c>
    </row>
    <row r="271" spans="1:18" ht="15.75" customHeight="1" x14ac:dyDescent="0.2">
      <c r="A271" s="2" t="s">
        <v>80</v>
      </c>
      <c r="B271" s="7" t="s">
        <v>582</v>
      </c>
      <c r="C271" s="1">
        <v>28500</v>
      </c>
      <c r="D271" s="1" t="str">
        <f>TEXT(C271,"000\.000\.000\-00")</f>
        <v>000.000.285-00</v>
      </c>
      <c r="E271" s="2">
        <v>41</v>
      </c>
      <c r="F271" s="3">
        <v>31115</v>
      </c>
      <c r="G271" s="2" t="s">
        <v>112</v>
      </c>
      <c r="H271" s="7" t="s">
        <v>113</v>
      </c>
      <c r="I271" s="7" t="str">
        <f>PROPER(Tabela1[[#This Row],[regiao]])</f>
        <v>Norte</v>
      </c>
      <c r="J271" s="8">
        <v>23100</v>
      </c>
      <c r="K271" s="9">
        <v>36000</v>
      </c>
      <c r="L271" s="2" t="s">
        <v>86</v>
      </c>
      <c r="M271" s="2">
        <v>19</v>
      </c>
      <c r="N271" s="2" t="str" cm="1">
        <f t="array" ref="N271">_xlfn.IFS(Tabela1[[#This Row],[qtde_]]="N/A", "N/A",Tabela1[[#This Row],[qtde_]]&lt;11,"BAIXO",Tabela1[[#This Row],[qtde_]]&lt;26,"MÉDIO",Tabela1[[#This Row],[qtde_]]&gt;=26,"ALTO")</f>
        <v>MÉDIO</v>
      </c>
      <c r="O271" s="12" t="str">
        <f>IF(AND(Tabela1[[#This Row],[nivel_risco]]="ALTO",Tabela1[[#This Row],[flag_inadimplente]] = "Sim"),"negada","aprovada")</f>
        <v>aprovada</v>
      </c>
      <c r="P271" s="12" t="str">
        <f>IF(AND(Tabela1[[#This Row],[credito_tomado]]&gt;50000,Tabela1[[#This Row],[flag_inadimplente]]="Sim"),"negada","aprovada")</f>
        <v>aprovada</v>
      </c>
      <c r="Q271" s="6">
        <v>37500</v>
      </c>
      <c r="R271" s="12" cm="1">
        <f t="array" ref="R27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3000</v>
      </c>
    </row>
    <row r="272" spans="1:18" ht="15.75" customHeight="1" x14ac:dyDescent="0.2">
      <c r="A272" s="2" t="s">
        <v>80</v>
      </c>
      <c r="B272" s="7" t="s">
        <v>584</v>
      </c>
      <c r="C272" s="1">
        <v>33100</v>
      </c>
      <c r="D272" s="1" t="str">
        <f>TEXT(C272,"000\.000\.000\-00")</f>
        <v>000.000.331-00</v>
      </c>
      <c r="E272" s="2" t="s">
        <v>83</v>
      </c>
      <c r="F272" s="3">
        <v>36759</v>
      </c>
      <c r="G272" s="2" t="s">
        <v>115</v>
      </c>
      <c r="H272" s="7" t="s">
        <v>115</v>
      </c>
      <c r="I272" s="7" t="str">
        <f>PROPER(Tabela1[[#This Row],[regiao]])</f>
        <v>Dorne</v>
      </c>
      <c r="J272" s="8">
        <v>23200</v>
      </c>
      <c r="K272" s="9">
        <v>54500</v>
      </c>
      <c r="L272" s="2" t="s">
        <v>101</v>
      </c>
      <c r="M272" s="2">
        <v>26</v>
      </c>
      <c r="N272" s="2" t="str" cm="1">
        <f t="array" ref="N272">_xlfn.IFS(Tabela1[[#This Row],[qtde_]]="N/A", "N/A",Tabela1[[#This Row],[qtde_]]&lt;11,"BAIXO",Tabela1[[#This Row],[qtde_]]&lt;26,"MÉDIO",Tabela1[[#This Row],[qtde_]]&gt;=26,"ALTO")</f>
        <v>ALTO</v>
      </c>
      <c r="O272" s="12" t="str">
        <f>IF(AND(Tabela1[[#This Row],[nivel_risco]]="ALTO",Tabela1[[#This Row],[flag_inadimplente]] = "Sim"),"negada","aprovada")</f>
        <v>negada</v>
      </c>
      <c r="P272" s="12" t="str">
        <f>IF(AND(Tabela1[[#This Row],[credito_tomado]]&gt;50000,Tabela1[[#This Row],[flag_inadimplente]]="Sim"),"negada","aprovada")</f>
        <v>negada</v>
      </c>
      <c r="Q272" s="6">
        <v>75000</v>
      </c>
      <c r="R272" s="12" t="str" cm="1">
        <f t="array" ref="R27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73" spans="1:18" ht="15.75" customHeight="1" x14ac:dyDescent="0.2">
      <c r="A273" s="2" t="s">
        <v>80</v>
      </c>
      <c r="B273" s="7" t="s">
        <v>584</v>
      </c>
      <c r="C273" s="1">
        <v>33100</v>
      </c>
      <c r="D273" s="1" t="str">
        <f>TEXT(C273,"000\.000\.000\-00")</f>
        <v>000.000.331-00</v>
      </c>
      <c r="E273" s="2" t="s">
        <v>83</v>
      </c>
      <c r="F273" s="3">
        <v>36759</v>
      </c>
      <c r="G273" s="2" t="s">
        <v>115</v>
      </c>
      <c r="H273" s="7" t="s">
        <v>115</v>
      </c>
      <c r="I273" s="7" t="str">
        <f>PROPER(Tabela1[[#This Row],[regiao]])</f>
        <v>Dorne</v>
      </c>
      <c r="J273" s="8">
        <v>23200</v>
      </c>
      <c r="K273" s="9">
        <v>54500</v>
      </c>
      <c r="L273" s="2" t="s">
        <v>101</v>
      </c>
      <c r="M273" s="2">
        <v>26</v>
      </c>
      <c r="N273" s="2" t="str" cm="1">
        <f t="array" ref="N273">_xlfn.IFS(Tabela1[[#This Row],[qtde_]]="N/A", "N/A",Tabela1[[#This Row],[qtde_]]&lt;11,"BAIXO",Tabela1[[#This Row],[qtde_]]&lt;26,"MÉDIO",Tabela1[[#This Row],[qtde_]]&gt;=26,"ALTO")</f>
        <v>ALTO</v>
      </c>
      <c r="O273" s="12" t="str">
        <f>IF(AND(Tabela1[[#This Row],[nivel_risco]]="ALTO",Tabela1[[#This Row],[flag_inadimplente]] = "Sim"),"negada","aprovada")</f>
        <v>negada</v>
      </c>
      <c r="P273" s="12" t="str">
        <f>IF(AND(Tabela1[[#This Row],[credito_tomado]]&gt;50000,Tabela1[[#This Row],[flag_inadimplente]]="Sim"),"negada","aprovada")</f>
        <v>negada</v>
      </c>
      <c r="Q273" s="6">
        <v>39500</v>
      </c>
      <c r="R273" s="12" t="str" cm="1">
        <f t="array" ref="R27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74" spans="1:18" ht="15.75" customHeight="1" x14ac:dyDescent="0.2">
      <c r="A274" s="2" t="s">
        <v>80</v>
      </c>
      <c r="B274" s="7" t="s">
        <v>585</v>
      </c>
      <c r="C274" s="1" t="s">
        <v>586</v>
      </c>
      <c r="D274" s="1" t="s">
        <v>587</v>
      </c>
      <c r="E274" s="2">
        <v>65</v>
      </c>
      <c r="F274" s="3">
        <v>22236</v>
      </c>
      <c r="G274" s="2" t="s">
        <v>94</v>
      </c>
      <c r="H274" s="7" t="s">
        <v>182</v>
      </c>
      <c r="I274" s="7" t="str">
        <f>PROPER(Tabela1[[#This Row],[regiao]])</f>
        <v>Ilhas De Ferro</v>
      </c>
      <c r="J274" s="8">
        <v>23400</v>
      </c>
      <c r="K274" s="9">
        <v>28000</v>
      </c>
      <c r="L274" s="2" t="s">
        <v>86</v>
      </c>
      <c r="M274" s="2">
        <v>34</v>
      </c>
      <c r="N274" s="2" t="str" cm="1">
        <f t="array" ref="N274">_xlfn.IFS(Tabela1[[#This Row],[qtde_]]="N/A", "N/A",Tabela1[[#This Row],[qtde_]]&lt;11,"BAIXO",Tabela1[[#This Row],[qtde_]]&lt;26,"MÉDIO",Tabela1[[#This Row],[qtde_]]&gt;=26,"ALTO")</f>
        <v>ALTO</v>
      </c>
      <c r="O274" s="12" t="str">
        <f>IF(AND(Tabela1[[#This Row],[nivel_risco]]="ALTO",Tabela1[[#This Row],[flag_inadimplente]] = "Sim"),"negada","aprovada")</f>
        <v>aprovada</v>
      </c>
      <c r="P274" s="12" t="str">
        <f>IF(AND(Tabela1[[#This Row],[credito_tomado]]&gt;50000,Tabela1[[#This Row],[flag_inadimplente]]="Sim"),"negada","aprovada")</f>
        <v>aprovada</v>
      </c>
      <c r="Q274" s="6">
        <v>74000</v>
      </c>
      <c r="R274" s="12" cm="1">
        <f t="array" ref="R27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5920</v>
      </c>
    </row>
    <row r="275" spans="1:18" ht="15.75" customHeight="1" x14ac:dyDescent="0.2">
      <c r="A275" s="2" t="s">
        <v>96</v>
      </c>
      <c r="B275" s="7" t="s">
        <v>588</v>
      </c>
      <c r="C275" s="1" t="s">
        <v>589</v>
      </c>
      <c r="D275" s="1" t="str">
        <f>TEXT(C275,"000\.000\.000\-00")</f>
        <v>000.000.263-00</v>
      </c>
      <c r="E275" s="2">
        <v>33</v>
      </c>
      <c r="F275" s="3">
        <v>33989</v>
      </c>
      <c r="G275" s="2" t="s">
        <v>89</v>
      </c>
      <c r="H275" s="7" t="s">
        <v>151</v>
      </c>
      <c r="I275" s="7" t="str">
        <f>PROPER(Tabela1[[#This Row],[regiao]])</f>
        <v>Terras Da Coroa</v>
      </c>
      <c r="J275" s="8">
        <v>23400</v>
      </c>
      <c r="K275" s="9">
        <v>59000</v>
      </c>
      <c r="L275" s="2" t="s">
        <v>101</v>
      </c>
      <c r="M275" s="2">
        <v>35</v>
      </c>
      <c r="N275" s="2" t="str" cm="1">
        <f t="array" ref="N275">_xlfn.IFS(Tabela1[[#This Row],[qtde_]]="N/A", "N/A",Tabela1[[#This Row],[qtde_]]&lt;11,"BAIXO",Tabela1[[#This Row],[qtde_]]&lt;26,"MÉDIO",Tabela1[[#This Row],[qtde_]]&gt;=26,"ALTO")</f>
        <v>ALTO</v>
      </c>
      <c r="O275" s="12" t="str">
        <f>IF(AND(Tabela1[[#This Row],[nivel_risco]]="ALTO",Tabela1[[#This Row],[flag_inadimplente]] = "Sim"),"negada","aprovada")</f>
        <v>negada</v>
      </c>
      <c r="P275" s="12" t="str">
        <f>IF(AND(Tabela1[[#This Row],[credito_tomado]]&gt;50000,Tabela1[[#This Row],[flag_inadimplente]]="Sim"),"negada","aprovada")</f>
        <v>negada</v>
      </c>
      <c r="Q275" s="6">
        <v>39000</v>
      </c>
      <c r="R275" s="12" t="str" cm="1">
        <f t="array" ref="R27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0</v>
      </c>
    </row>
    <row r="276" spans="1:18" ht="15.75" customHeight="1" x14ac:dyDescent="0.2">
      <c r="A276" s="2" t="s">
        <v>96</v>
      </c>
      <c r="B276" s="7" t="s">
        <v>590</v>
      </c>
      <c r="C276" s="1" t="s">
        <v>591</v>
      </c>
      <c r="D276" s="1" t="str">
        <f>TEXT(C276,"000\.000\.000\-00")</f>
        <v>000.000.119-00</v>
      </c>
      <c r="E276" s="2">
        <v>33</v>
      </c>
      <c r="F276" s="3">
        <v>34082</v>
      </c>
      <c r="G276" s="2" t="s">
        <v>138</v>
      </c>
      <c r="H276" s="7" t="s">
        <v>139</v>
      </c>
      <c r="I276" s="7" t="str">
        <f>PROPER(Tabela1[[#This Row],[regiao]])</f>
        <v>Essos</v>
      </c>
      <c r="J276" s="8">
        <v>23600</v>
      </c>
      <c r="K276" s="9">
        <v>75500</v>
      </c>
      <c r="L276" s="2" t="s">
        <v>86</v>
      </c>
      <c r="M276" s="2">
        <v>16</v>
      </c>
      <c r="N276" s="2" t="str" cm="1">
        <f t="array" ref="N276">_xlfn.IFS(Tabela1[[#This Row],[qtde_]]="N/A", "N/A",Tabela1[[#This Row],[qtde_]]&lt;11,"BAIXO",Tabela1[[#This Row],[qtde_]]&lt;26,"MÉDIO",Tabela1[[#This Row],[qtde_]]&gt;=26,"ALTO")</f>
        <v>MÉDIO</v>
      </c>
      <c r="O276" s="12" t="str">
        <f>IF(AND(Tabela1[[#This Row],[nivel_risco]]="ALTO",Tabela1[[#This Row],[flag_inadimplente]] = "Sim"),"negada","aprovada")</f>
        <v>aprovada</v>
      </c>
      <c r="P276" s="12" t="str">
        <f>IF(AND(Tabela1[[#This Row],[credito_tomado]]&gt;50000,Tabela1[[#This Row],[flag_inadimplente]]="Sim"),"negada","aprovada")</f>
        <v>aprovada</v>
      </c>
      <c r="Q276" s="6">
        <v>88000</v>
      </c>
      <c r="R276" s="12" t="e" cm="1">
        <f t="array" ref="R27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77" spans="1:18" ht="15.75" customHeight="1" x14ac:dyDescent="0.2">
      <c r="A277" s="2" t="s">
        <v>80</v>
      </c>
      <c r="B277" s="7" t="s">
        <v>592</v>
      </c>
      <c r="C277" s="1" t="s">
        <v>593</v>
      </c>
      <c r="D277" s="1" t="str">
        <f>TEXT(C277,"000\.000\.000\-00")</f>
        <v>000.000.118-00</v>
      </c>
      <c r="E277" s="2">
        <v>69</v>
      </c>
      <c r="F277" s="3">
        <v>21054</v>
      </c>
      <c r="G277" s="2" t="s">
        <v>84</v>
      </c>
      <c r="H277" s="7" t="s">
        <v>85</v>
      </c>
      <c r="I277" s="7" t="str">
        <f>PROPER(Tabela1[[#This Row],[regiao]])</f>
        <v>Campina</v>
      </c>
      <c r="J277" s="8">
        <v>23800</v>
      </c>
      <c r="K277" s="9">
        <v>0</v>
      </c>
      <c r="L277" s="2" t="s">
        <v>83</v>
      </c>
      <c r="M277" s="2">
        <v>26</v>
      </c>
      <c r="N277" s="2" t="str" cm="1">
        <f t="array" ref="N277">_xlfn.IFS(Tabela1[[#This Row],[qtde_]]="N/A", "N/A",Tabela1[[#This Row],[qtde_]]&lt;11,"BAIXO",Tabela1[[#This Row],[qtde_]]&lt;26,"MÉDIO",Tabela1[[#This Row],[qtde_]]&gt;=26,"ALTO")</f>
        <v>ALTO</v>
      </c>
      <c r="O277" s="12" t="str">
        <f>IF(AND(Tabela1[[#This Row],[nivel_risco]]="ALTO",Tabela1[[#This Row],[flag_inadimplente]] = "Sim"),"negada","aprovada")</f>
        <v>aprovada</v>
      </c>
      <c r="P277" s="12" t="str">
        <f>IF(AND(Tabela1[[#This Row],[credito_tomado]]&gt;50000,Tabela1[[#This Row],[flag_inadimplente]]="Sim"),"negada","aprovada")</f>
        <v>aprovada</v>
      </c>
      <c r="Q277" s="6">
        <v>89000</v>
      </c>
      <c r="R277" s="12" t="str" cm="1">
        <f t="array" ref="R27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278" spans="1:18" ht="15.75" customHeight="1" x14ac:dyDescent="0.2">
      <c r="A278" s="2" t="s">
        <v>80</v>
      </c>
      <c r="B278" s="7" t="s">
        <v>594</v>
      </c>
      <c r="C278" s="1" t="s">
        <v>595</v>
      </c>
      <c r="D278" s="1" t="str">
        <f>TEXT(C278,"000\.000\.000\-00")</f>
        <v>000.000.276-00</v>
      </c>
      <c r="E278" s="2">
        <v>36</v>
      </c>
      <c r="F278" s="3">
        <v>32791</v>
      </c>
      <c r="G278" s="2" t="s">
        <v>84</v>
      </c>
      <c r="H278" s="7" t="s">
        <v>226</v>
      </c>
      <c r="I278" s="7" t="str">
        <f>PROPER(Tabela1[[#This Row],[regiao]])</f>
        <v>Campina</v>
      </c>
      <c r="J278" s="8">
        <v>23900</v>
      </c>
      <c r="K278" s="9">
        <v>58000</v>
      </c>
      <c r="L278" s="2" t="s">
        <v>86</v>
      </c>
      <c r="M278" s="2">
        <v>27</v>
      </c>
      <c r="N278" s="2" t="str" cm="1">
        <f t="array" ref="N278">_xlfn.IFS(Tabela1[[#This Row],[qtde_]]="N/A", "N/A",Tabela1[[#This Row],[qtde_]]&lt;11,"BAIXO",Tabela1[[#This Row],[qtde_]]&lt;26,"MÉDIO",Tabela1[[#This Row],[qtde_]]&gt;=26,"ALTO")</f>
        <v>ALTO</v>
      </c>
      <c r="O278" s="12" t="str">
        <f>IF(AND(Tabela1[[#This Row],[nivel_risco]]="ALTO",Tabela1[[#This Row],[flag_inadimplente]] = "Sim"),"negada","aprovada")</f>
        <v>aprovada</v>
      </c>
      <c r="P278" s="12" t="str">
        <f>IF(AND(Tabela1[[#This Row],[credito_tomado]]&gt;50000,Tabela1[[#This Row],[flag_inadimplente]]="Sim"),"negada","aprovada")</f>
        <v>aprovada</v>
      </c>
      <c r="Q278" s="6">
        <v>38000</v>
      </c>
      <c r="R278" s="12" cm="1">
        <f t="array" ref="R27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3040</v>
      </c>
    </row>
    <row r="279" spans="1:18" ht="15.75" customHeight="1" x14ac:dyDescent="0.2">
      <c r="A279" s="2" t="s">
        <v>80</v>
      </c>
      <c r="B279" s="7" t="s">
        <v>189</v>
      </c>
      <c r="C279" s="1">
        <v>8900</v>
      </c>
      <c r="D279" s="1" t="str">
        <f>TEXT(C279,"000\.000\.000\-00")</f>
        <v>000.000.089-00</v>
      </c>
      <c r="E279" s="2" t="s">
        <v>83</v>
      </c>
      <c r="F279" s="3">
        <v>33473</v>
      </c>
      <c r="G279" s="2" t="s">
        <v>108</v>
      </c>
      <c r="H279" s="7" t="s">
        <v>130</v>
      </c>
      <c r="I279" s="7" t="str">
        <f>PROPER(Tabela1[[#This Row],[regiao]])</f>
        <v>Gargalo</v>
      </c>
      <c r="J279" s="8">
        <v>24000</v>
      </c>
      <c r="K279" s="9">
        <v>0</v>
      </c>
      <c r="L279" s="2" t="s">
        <v>101</v>
      </c>
      <c r="M279" s="2">
        <v>3</v>
      </c>
      <c r="N279" s="2" t="str" cm="1">
        <f t="array" ref="N279">_xlfn.IFS(Tabela1[[#This Row],[qtde_]]="N/A", "N/A",Tabela1[[#This Row],[qtde_]]&lt;11,"BAIXO",Tabela1[[#This Row],[qtde_]]&lt;26,"MÉDIO",Tabela1[[#This Row],[qtde_]]&gt;=26,"ALTO")</f>
        <v>BAIXO</v>
      </c>
      <c r="O279" s="12" t="str">
        <f>IF(AND(Tabela1[[#This Row],[nivel_risco]]="ALTO",Tabela1[[#This Row],[flag_inadimplente]] = "Sim"),"negada","aprovada")</f>
        <v>aprovada</v>
      </c>
      <c r="P279" s="12" t="str">
        <f>IF(AND(Tabela1[[#This Row],[credito_tomado]]&gt;50000,Tabela1[[#This Row],[flag_inadimplente]]="Sim"),"negada","aprovada")</f>
        <v>aprovada</v>
      </c>
      <c r="Q279" s="6">
        <v>60000</v>
      </c>
      <c r="R279" s="12" cm="1">
        <f t="array" ref="R27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4800</v>
      </c>
    </row>
    <row r="280" spans="1:18" ht="15.75" customHeight="1" x14ac:dyDescent="0.2">
      <c r="A280" s="2" t="s">
        <v>96</v>
      </c>
      <c r="B280" s="7" t="s">
        <v>596</v>
      </c>
      <c r="C280" s="1" t="s">
        <v>597</v>
      </c>
      <c r="D280" s="1" t="str">
        <f>TEXT(C280,"000\.000\.000\-00")</f>
        <v>000.000.322-00</v>
      </c>
      <c r="E280" s="2">
        <v>26</v>
      </c>
      <c r="F280" s="3">
        <v>36540</v>
      </c>
      <c r="G280" s="2" t="s">
        <v>215</v>
      </c>
      <c r="H280" s="7" t="s">
        <v>151</v>
      </c>
      <c r="I280" s="7" t="str">
        <f>PROPER(Tabela1[[#This Row],[regiao]])</f>
        <v>Terras Da Coroa</v>
      </c>
      <c r="J280" s="8">
        <v>24000</v>
      </c>
      <c r="K280" s="9">
        <v>52000</v>
      </c>
      <c r="L280" s="2" t="s">
        <v>86</v>
      </c>
      <c r="M280" s="2">
        <v>30</v>
      </c>
      <c r="N280" s="2" t="str" cm="1">
        <f t="array" ref="N280">_xlfn.IFS(Tabela1[[#This Row],[qtde_]]="N/A", "N/A",Tabela1[[#This Row],[qtde_]]&lt;11,"BAIXO",Tabela1[[#This Row],[qtde_]]&lt;26,"MÉDIO",Tabela1[[#This Row],[qtde_]]&gt;=26,"ALTO")</f>
        <v>ALTO</v>
      </c>
      <c r="O280" s="12" t="str">
        <f>IF(AND(Tabela1[[#This Row],[nivel_risco]]="ALTO",Tabela1[[#This Row],[flag_inadimplente]] = "Sim"),"negada","aprovada")</f>
        <v>aprovada</v>
      </c>
      <c r="P280" s="12" t="str">
        <f>IF(AND(Tabela1[[#This Row],[credito_tomado]]&gt;50000,Tabela1[[#This Row],[flag_inadimplente]]="Sim"),"negada","aprovada")</f>
        <v>aprovada</v>
      </c>
      <c r="Q280" s="6">
        <v>62500</v>
      </c>
      <c r="R280" s="12" t="e" cm="1">
        <f t="array" ref="R28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81" spans="1:18" ht="15.75" customHeight="1" x14ac:dyDescent="0.2">
      <c r="A281" s="2" t="s">
        <v>96</v>
      </c>
      <c r="B281" s="7" t="s">
        <v>596</v>
      </c>
      <c r="C281" s="1" t="s">
        <v>597</v>
      </c>
      <c r="D281" s="1" t="str">
        <f>TEXT(C281,"000\.000\.000\-00")</f>
        <v>000.000.322-00</v>
      </c>
      <c r="E281" s="2">
        <v>26</v>
      </c>
      <c r="F281" s="3">
        <v>36540</v>
      </c>
      <c r="G281" s="2" t="s">
        <v>215</v>
      </c>
      <c r="H281" s="7" t="s">
        <v>151</v>
      </c>
      <c r="I281" s="7" t="str">
        <f>PROPER(Tabela1[[#This Row],[regiao]])</f>
        <v>Terras Da Coroa</v>
      </c>
      <c r="J281" s="8">
        <v>24000</v>
      </c>
      <c r="K281" s="9">
        <v>52000</v>
      </c>
      <c r="L281" s="2" t="s">
        <v>86</v>
      </c>
      <c r="M281" s="2">
        <v>30</v>
      </c>
      <c r="N281" s="2" t="str" cm="1">
        <f t="array" ref="N281">_xlfn.IFS(Tabela1[[#This Row],[qtde_]]="N/A", "N/A",Tabela1[[#This Row],[qtde_]]&lt;11,"BAIXO",Tabela1[[#This Row],[qtde_]]&lt;26,"MÉDIO",Tabela1[[#This Row],[qtde_]]&gt;=26,"ALTO")</f>
        <v>ALTO</v>
      </c>
      <c r="O281" s="12" t="str">
        <f>IF(AND(Tabela1[[#This Row],[nivel_risco]]="ALTO",Tabela1[[#This Row],[flag_inadimplente]] = "Sim"),"negada","aprovada")</f>
        <v>aprovada</v>
      </c>
      <c r="P281" s="12" t="str">
        <f>IF(AND(Tabela1[[#This Row],[credito_tomado]]&gt;50000,Tabela1[[#This Row],[flag_inadimplente]]="Sim"),"negada","aprovada")</f>
        <v>aprovada</v>
      </c>
      <c r="Q281" s="6">
        <v>11500</v>
      </c>
      <c r="R281" s="12" t="e" cm="1">
        <f t="array" ref="R28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82" spans="1:18" ht="15.75" customHeight="1" x14ac:dyDescent="0.2">
      <c r="A282" s="2" t="s">
        <v>96</v>
      </c>
      <c r="B282" s="7" t="s">
        <v>598</v>
      </c>
      <c r="C282" s="1" t="s">
        <v>599</v>
      </c>
      <c r="D282" s="1" t="str">
        <f>TEXT(C282,"000\.000\.000\-00")</f>
        <v>000.000.353-00</v>
      </c>
      <c r="E282" s="2">
        <v>74</v>
      </c>
      <c r="F282" s="3">
        <v>19047</v>
      </c>
      <c r="G282" s="2" t="s">
        <v>118</v>
      </c>
      <c r="H282" s="7" t="s">
        <v>119</v>
      </c>
      <c r="I282" s="7" t="str">
        <f>PROPER(Tabela1[[#This Row],[regiao]])</f>
        <v>Oeste</v>
      </c>
      <c r="J282" s="8">
        <v>24000</v>
      </c>
      <c r="K282" s="9">
        <v>35000</v>
      </c>
      <c r="L282" s="2" t="s">
        <v>86</v>
      </c>
      <c r="M282" s="2">
        <v>6</v>
      </c>
      <c r="N282" s="2" t="str" cm="1">
        <f t="array" ref="N282">_xlfn.IFS(Tabela1[[#This Row],[qtde_]]="N/A", "N/A",Tabela1[[#This Row],[qtde_]]&lt;11,"BAIXO",Tabela1[[#This Row],[qtde_]]&lt;26,"MÉDIO",Tabela1[[#This Row],[qtde_]]&gt;=26,"ALTO")</f>
        <v>BAIXO</v>
      </c>
      <c r="O282" s="12" t="str">
        <f>IF(AND(Tabela1[[#This Row],[nivel_risco]]="ALTO",Tabela1[[#This Row],[flag_inadimplente]] = "Sim"),"negada","aprovada")</f>
        <v>aprovada</v>
      </c>
      <c r="P282" s="12" t="str">
        <f>IF(AND(Tabela1[[#This Row],[credito_tomado]]&gt;50000,Tabela1[[#This Row],[flag_inadimplente]]="Sim"),"negada","aprovada")</f>
        <v>aprovada</v>
      </c>
      <c r="Q282" s="6">
        <v>29500</v>
      </c>
      <c r="R282" s="12" t="e" cm="1">
        <f t="array" ref="R28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83" spans="1:18" ht="15.75" customHeight="1" x14ac:dyDescent="0.2">
      <c r="A283" s="2" t="s">
        <v>80</v>
      </c>
      <c r="B283" s="7" t="s">
        <v>600</v>
      </c>
      <c r="C283" s="1">
        <v>27900</v>
      </c>
      <c r="D283" s="1" t="str">
        <f>TEXT(C283,"000\.000\.000\-00")</f>
        <v>000.000.279-00</v>
      </c>
      <c r="E283" s="2">
        <v>71</v>
      </c>
      <c r="F283" s="3">
        <v>20094</v>
      </c>
      <c r="G283" s="2" t="s">
        <v>121</v>
      </c>
      <c r="H283" s="7" t="s">
        <v>85</v>
      </c>
      <c r="I283" s="7" t="str">
        <f>PROPER(Tabela1[[#This Row],[regiao]])</f>
        <v>Campina</v>
      </c>
      <c r="J283" s="8">
        <v>24100</v>
      </c>
      <c r="K283" s="9">
        <v>0</v>
      </c>
      <c r="L283" s="2" t="s">
        <v>86</v>
      </c>
      <c r="M283" s="2">
        <v>10</v>
      </c>
      <c r="N283" s="2" t="str" cm="1">
        <f t="array" ref="N283">_xlfn.IFS(Tabela1[[#This Row],[qtde_]]="N/A", "N/A",Tabela1[[#This Row],[qtde_]]&lt;11,"BAIXO",Tabela1[[#This Row],[qtde_]]&lt;26,"MÉDIO",Tabela1[[#This Row],[qtde_]]&gt;=26,"ALTO")</f>
        <v>BAIXO</v>
      </c>
      <c r="O283" s="12" t="str">
        <f>IF(AND(Tabela1[[#This Row],[nivel_risco]]="ALTO",Tabela1[[#This Row],[flag_inadimplente]] = "Sim"),"negada","aprovada")</f>
        <v>aprovada</v>
      </c>
      <c r="P283" s="12" t="str">
        <f>IF(AND(Tabela1[[#This Row],[credito_tomado]]&gt;50000,Tabela1[[#This Row],[flag_inadimplente]]="Sim"),"negada","aprovada")</f>
        <v>aprovada</v>
      </c>
      <c r="Q283" s="6">
        <v>87000</v>
      </c>
      <c r="R283" s="12" cm="1">
        <f t="array" ref="R28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6960</v>
      </c>
    </row>
    <row r="284" spans="1:18" ht="15.75" customHeight="1" x14ac:dyDescent="0.2">
      <c r="A284" s="2" t="s">
        <v>80</v>
      </c>
      <c r="B284" s="7" t="s">
        <v>601</v>
      </c>
      <c r="C284" s="1">
        <v>34400</v>
      </c>
      <c r="D284" s="1" t="str">
        <f>TEXT(C284,"000\.000\.000\-00")</f>
        <v>000.000.344-00</v>
      </c>
      <c r="E284" s="2">
        <v>64</v>
      </c>
      <c r="F284" s="3">
        <v>22836</v>
      </c>
      <c r="G284" s="2" t="s">
        <v>197</v>
      </c>
      <c r="H284" s="7" t="s">
        <v>223</v>
      </c>
      <c r="I284" s="7" t="str">
        <f>PROPER(Tabela1[[#This Row],[regiao]])</f>
        <v>Terras Da Tempestade</v>
      </c>
      <c r="J284" s="8">
        <v>24300</v>
      </c>
      <c r="K284" s="9">
        <v>16500</v>
      </c>
      <c r="L284" s="2" t="s">
        <v>101</v>
      </c>
      <c r="M284" s="2">
        <v>24</v>
      </c>
      <c r="N284" s="2" t="str" cm="1">
        <f t="array" ref="N284">_xlfn.IFS(Tabela1[[#This Row],[qtde_]]="N/A", "N/A",Tabela1[[#This Row],[qtde_]]&lt;11,"BAIXO",Tabela1[[#This Row],[qtde_]]&lt;26,"MÉDIO",Tabela1[[#This Row],[qtde_]]&gt;=26,"ALTO")</f>
        <v>MÉDIO</v>
      </c>
      <c r="O284" s="12" t="str">
        <f>IF(AND(Tabela1[[#This Row],[nivel_risco]]="ALTO",Tabela1[[#This Row],[flag_inadimplente]] = "Sim"),"negada","aprovada")</f>
        <v>aprovada</v>
      </c>
      <c r="P284" s="12" t="str">
        <f>IF(AND(Tabela1[[#This Row],[credito_tomado]]&gt;50000,Tabela1[[#This Row],[flag_inadimplente]]="Sim"),"negada","aprovada")</f>
        <v>aprovada</v>
      </c>
      <c r="Q284" s="6">
        <v>57000</v>
      </c>
      <c r="R284" s="12" cm="1">
        <f t="array" ref="R28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4560</v>
      </c>
    </row>
    <row r="285" spans="1:18" ht="15.75" customHeight="1" x14ac:dyDescent="0.2">
      <c r="A285" s="2" t="s">
        <v>80</v>
      </c>
      <c r="B285" s="7" t="s">
        <v>602</v>
      </c>
      <c r="C285" s="1" t="s">
        <v>603</v>
      </c>
      <c r="D285" s="1" t="str">
        <f>TEXT(C285,"000\.000\.000\-00")</f>
        <v>000.000.025-00</v>
      </c>
      <c r="E285" s="2">
        <v>72</v>
      </c>
      <c r="F285" s="3">
        <v>19800</v>
      </c>
      <c r="G285" s="2" t="s">
        <v>153</v>
      </c>
      <c r="H285" s="7" t="s">
        <v>141</v>
      </c>
      <c r="I285" s="7" t="str">
        <f>PROPER(Tabela1[[#This Row],[regiao]])</f>
        <v>Terras Fluviais</v>
      </c>
      <c r="J285" s="8">
        <v>24300</v>
      </c>
      <c r="K285" s="9">
        <v>13500</v>
      </c>
      <c r="L285" s="2" t="s">
        <v>86</v>
      </c>
      <c r="M285" s="2">
        <v>33</v>
      </c>
      <c r="N285" s="2" t="str" cm="1">
        <f t="array" ref="N285">_xlfn.IFS(Tabela1[[#This Row],[qtde_]]="N/A", "N/A",Tabela1[[#This Row],[qtde_]]&lt;11,"BAIXO",Tabela1[[#This Row],[qtde_]]&lt;26,"MÉDIO",Tabela1[[#This Row],[qtde_]]&gt;=26,"ALTO")</f>
        <v>ALTO</v>
      </c>
      <c r="O285" s="12" t="str">
        <f>IF(AND(Tabela1[[#This Row],[nivel_risco]]="ALTO",Tabela1[[#This Row],[flag_inadimplente]] = "Sim"),"negada","aprovada")</f>
        <v>aprovada</v>
      </c>
      <c r="P285" s="12" t="str">
        <f>IF(AND(Tabela1[[#This Row],[credito_tomado]]&gt;50000,Tabela1[[#This Row],[flag_inadimplente]]="Sim"),"negada","aprovada")</f>
        <v>aprovada</v>
      </c>
      <c r="Q285" s="6">
        <v>14500</v>
      </c>
      <c r="R285" s="12" cm="1">
        <f t="array" ref="R28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1160</v>
      </c>
    </row>
    <row r="286" spans="1:18" ht="15.75" customHeight="1" x14ac:dyDescent="0.2">
      <c r="A286" s="2" t="s">
        <v>80</v>
      </c>
      <c r="B286" s="7" t="s">
        <v>604</v>
      </c>
      <c r="C286" s="1" t="s">
        <v>605</v>
      </c>
      <c r="D286" s="1" t="str">
        <f>TEXT(C286,"000\.000\.000\-00")</f>
        <v>000.000.023-00</v>
      </c>
      <c r="E286" s="2">
        <v>45</v>
      </c>
      <c r="F286" s="3">
        <v>29769</v>
      </c>
      <c r="G286" s="2" t="s">
        <v>104</v>
      </c>
      <c r="H286" s="7" t="s">
        <v>230</v>
      </c>
      <c r="I286" s="7" t="str">
        <f>PROPER(Tabela1[[#This Row],[regiao]])</f>
        <v>Terras Da Tempestade</v>
      </c>
      <c r="J286" s="8">
        <v>24400</v>
      </c>
      <c r="K286" s="9">
        <v>7500</v>
      </c>
      <c r="L286" s="2" t="s">
        <v>86</v>
      </c>
      <c r="M286" s="2">
        <v>13</v>
      </c>
      <c r="N286" s="2" t="str" cm="1">
        <f t="array" ref="N286">_xlfn.IFS(Tabela1[[#This Row],[qtde_]]="N/A", "N/A",Tabela1[[#This Row],[qtde_]]&lt;11,"BAIXO",Tabela1[[#This Row],[qtde_]]&lt;26,"MÉDIO",Tabela1[[#This Row],[qtde_]]&gt;=26,"ALTO")</f>
        <v>MÉDIO</v>
      </c>
      <c r="O286" s="12" t="str">
        <f>IF(AND(Tabela1[[#This Row],[nivel_risco]]="ALTO",Tabela1[[#This Row],[flag_inadimplente]] = "Sim"),"negada","aprovada")</f>
        <v>aprovada</v>
      </c>
      <c r="P286" s="12" t="str">
        <f>IF(AND(Tabela1[[#This Row],[credito_tomado]]&gt;50000,Tabela1[[#This Row],[flag_inadimplente]]="Sim"),"negada","aprovada")</f>
        <v>aprovada</v>
      </c>
      <c r="Q286" s="6">
        <v>95000</v>
      </c>
      <c r="R286" s="12" cm="1">
        <f t="array" ref="R28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7600</v>
      </c>
    </row>
    <row r="287" spans="1:18" ht="15.75" customHeight="1" x14ac:dyDescent="0.2">
      <c r="A287" s="2" t="s">
        <v>96</v>
      </c>
      <c r="B287" s="7" t="s">
        <v>606</v>
      </c>
      <c r="C287" s="1">
        <v>24300</v>
      </c>
      <c r="D287" s="1" t="str">
        <f>TEXT(C287,"000\.000\.000\-00")</f>
        <v>000.000.243-00</v>
      </c>
      <c r="E287" s="2">
        <v>25</v>
      </c>
      <c r="F287" s="3">
        <v>37131</v>
      </c>
      <c r="G287" s="2" t="s">
        <v>118</v>
      </c>
      <c r="H287" s="7" t="s">
        <v>119</v>
      </c>
      <c r="I287" s="7" t="str">
        <f>PROPER(Tabela1[[#This Row],[regiao]])</f>
        <v>Oeste</v>
      </c>
      <c r="J287" s="8">
        <v>24500</v>
      </c>
      <c r="K287" s="9">
        <v>0</v>
      </c>
      <c r="L287" s="2" t="s">
        <v>86</v>
      </c>
      <c r="M287" s="2">
        <v>0</v>
      </c>
      <c r="N287" s="2" t="str" cm="1">
        <f t="array" ref="N287">_xlfn.IFS(Tabela1[[#This Row],[qtde_]]="N/A", "N/A",Tabela1[[#This Row],[qtde_]]&lt;11,"BAIXO",Tabela1[[#This Row],[qtde_]]&lt;26,"MÉDIO",Tabela1[[#This Row],[qtde_]]&gt;=26,"ALTO")</f>
        <v>BAIXO</v>
      </c>
      <c r="O287" s="12" t="str">
        <f>IF(AND(Tabela1[[#This Row],[nivel_risco]]="ALTO",Tabela1[[#This Row],[flag_inadimplente]] = "Sim"),"negada","aprovada")</f>
        <v>aprovada</v>
      </c>
      <c r="P287" s="12" t="str">
        <f>IF(AND(Tabela1[[#This Row],[credito_tomado]]&gt;50000,Tabela1[[#This Row],[flag_inadimplente]]="Sim"),"negada","aprovada")</f>
        <v>aprovada</v>
      </c>
      <c r="Q287" s="6">
        <v>55000</v>
      </c>
      <c r="R287" s="12" t="e" cm="1">
        <f t="array" ref="R28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88" spans="1:18" ht="15.75" customHeight="1" x14ac:dyDescent="0.2">
      <c r="A288" s="2" t="s">
        <v>80</v>
      </c>
      <c r="B288" s="7" t="s">
        <v>607</v>
      </c>
      <c r="C288" s="1" t="s">
        <v>608</v>
      </c>
      <c r="D288" s="1" t="str">
        <f>TEXT(C288,"000\.000\.000\-00")</f>
        <v>000.000.213-00</v>
      </c>
      <c r="E288" s="2">
        <v>68</v>
      </c>
      <c r="F288" s="3">
        <v>21145</v>
      </c>
      <c r="G288" s="2" t="s">
        <v>104</v>
      </c>
      <c r="H288" s="7" t="s">
        <v>105</v>
      </c>
      <c r="I288" s="7" t="str">
        <f>PROPER(Tabela1[[#This Row],[regiao]])</f>
        <v>Terras Da Tempestade</v>
      </c>
      <c r="J288" s="8">
        <v>24500</v>
      </c>
      <c r="K288" s="9">
        <v>16500</v>
      </c>
      <c r="L288" s="2" t="s">
        <v>86</v>
      </c>
      <c r="M288" s="2">
        <v>22</v>
      </c>
      <c r="N288" s="2" t="str" cm="1">
        <f t="array" ref="N288">_xlfn.IFS(Tabela1[[#This Row],[qtde_]]="N/A", "N/A",Tabela1[[#This Row],[qtde_]]&lt;11,"BAIXO",Tabela1[[#This Row],[qtde_]]&lt;26,"MÉDIO",Tabela1[[#This Row],[qtde_]]&gt;=26,"ALTO")</f>
        <v>MÉDIO</v>
      </c>
      <c r="O288" s="12" t="str">
        <f>IF(AND(Tabela1[[#This Row],[nivel_risco]]="ALTO",Tabela1[[#This Row],[flag_inadimplente]] = "Sim"),"negada","aprovada")</f>
        <v>aprovada</v>
      </c>
      <c r="P288" s="12" t="str">
        <f>IF(AND(Tabela1[[#This Row],[credito_tomado]]&gt;50000,Tabela1[[#This Row],[flag_inadimplente]]="Sim"),"negada","aprovada")</f>
        <v>aprovada</v>
      </c>
      <c r="Q288" s="6">
        <v>34500</v>
      </c>
      <c r="R288" s="12" cm="1">
        <f t="array" ref="R28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2760</v>
      </c>
    </row>
    <row r="289" spans="1:18" ht="15.75" customHeight="1" x14ac:dyDescent="0.2">
      <c r="A289" s="2" t="s">
        <v>80</v>
      </c>
      <c r="B289" s="7" t="s">
        <v>609</v>
      </c>
      <c r="C289" s="1">
        <v>10800</v>
      </c>
      <c r="D289" s="1" t="str">
        <f>TEXT(C289,"000\.000\.000\-00")</f>
        <v>000.000.108-00</v>
      </c>
      <c r="E289" s="2">
        <v>39</v>
      </c>
      <c r="F289" s="3">
        <v>31766</v>
      </c>
      <c r="G289" s="2" t="s">
        <v>206</v>
      </c>
      <c r="H289" s="7" t="s">
        <v>122</v>
      </c>
      <c r="I289" s="7" t="str">
        <f>PROPER(Tabela1[[#This Row],[regiao]])</f>
        <v>Campina</v>
      </c>
      <c r="J289" s="8">
        <v>24700</v>
      </c>
      <c r="K289" s="9">
        <v>23500</v>
      </c>
      <c r="L289" s="2" t="s">
        <v>86</v>
      </c>
      <c r="M289" s="2">
        <v>43</v>
      </c>
      <c r="N289" s="2" t="str" cm="1">
        <f t="array" ref="N289">_xlfn.IFS(Tabela1[[#This Row],[qtde_]]="N/A", "N/A",Tabela1[[#This Row],[qtde_]]&lt;11,"BAIXO",Tabela1[[#This Row],[qtde_]]&lt;26,"MÉDIO",Tabela1[[#This Row],[qtde_]]&gt;=26,"ALTO")</f>
        <v>ALTO</v>
      </c>
      <c r="O289" s="12" t="str">
        <f>IF(AND(Tabela1[[#This Row],[nivel_risco]]="ALTO",Tabela1[[#This Row],[flag_inadimplente]] = "Sim"),"negada","aprovada")</f>
        <v>aprovada</v>
      </c>
      <c r="P289" s="12" t="str">
        <f>IF(AND(Tabela1[[#This Row],[credito_tomado]]&gt;50000,Tabela1[[#This Row],[flag_inadimplente]]="Sim"),"negada","aprovada")</f>
        <v>aprovada</v>
      </c>
      <c r="Q289" s="6">
        <v>57000</v>
      </c>
      <c r="R289" s="12" cm="1">
        <f t="array" ref="R28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4560</v>
      </c>
    </row>
    <row r="290" spans="1:18" ht="15.75" customHeight="1" x14ac:dyDescent="0.2">
      <c r="A290" s="2" t="s">
        <v>80</v>
      </c>
      <c r="B290" s="7" t="s">
        <v>610</v>
      </c>
      <c r="C290" s="1" t="s">
        <v>611</v>
      </c>
      <c r="D290" s="1" t="str">
        <f>TEXT(C290,"000\.000\.000\-00")</f>
        <v>000.000.091-00</v>
      </c>
      <c r="E290" s="2">
        <v>37</v>
      </c>
      <c r="F290" s="3">
        <v>32412</v>
      </c>
      <c r="G290" s="2" t="s">
        <v>99</v>
      </c>
      <c r="H290" s="7" t="s">
        <v>157</v>
      </c>
      <c r="I290" s="7" t="str">
        <f>PROPER(Tabela1[[#This Row],[regiao]])</f>
        <v>Norte</v>
      </c>
      <c r="J290" s="8">
        <v>24700</v>
      </c>
      <c r="K290" s="9">
        <v>23000</v>
      </c>
      <c r="L290" s="2" t="s">
        <v>101</v>
      </c>
      <c r="M290" s="2">
        <v>10</v>
      </c>
      <c r="N290" s="2" t="str" cm="1">
        <f t="array" ref="N290">_xlfn.IFS(Tabela1[[#This Row],[qtde_]]="N/A", "N/A",Tabela1[[#This Row],[qtde_]]&lt;11,"BAIXO",Tabela1[[#This Row],[qtde_]]&lt;26,"MÉDIO",Tabela1[[#This Row],[qtde_]]&gt;=26,"ALTO")</f>
        <v>BAIXO</v>
      </c>
      <c r="O290" s="12" t="str">
        <f>IF(AND(Tabela1[[#This Row],[nivel_risco]]="ALTO",Tabela1[[#This Row],[flag_inadimplente]] = "Sim"),"negada","aprovada")</f>
        <v>aprovada</v>
      </c>
      <c r="P290" s="12" t="str">
        <f>IF(AND(Tabela1[[#This Row],[credito_tomado]]&gt;50000,Tabela1[[#This Row],[flag_inadimplente]]="Sim"),"negada","aprovada")</f>
        <v>aprovada</v>
      </c>
      <c r="Q290" s="6">
        <v>37500</v>
      </c>
      <c r="R290" s="12" cm="1">
        <f t="array" ref="R29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3000</v>
      </c>
    </row>
    <row r="291" spans="1:18" ht="15.75" customHeight="1" x14ac:dyDescent="0.2">
      <c r="A291" s="2" t="s">
        <v>96</v>
      </c>
      <c r="B291" s="7" t="s">
        <v>120</v>
      </c>
      <c r="C291" s="1">
        <v>4000</v>
      </c>
      <c r="D291" s="1" t="str">
        <f>TEXT(C291,"000\.000\.000\-00")</f>
        <v>000.000.040-00</v>
      </c>
      <c r="E291" s="2">
        <v>48</v>
      </c>
      <c r="F291" s="3">
        <v>28663</v>
      </c>
      <c r="G291" s="2" t="s">
        <v>89</v>
      </c>
      <c r="H291" s="7" t="s">
        <v>90</v>
      </c>
      <c r="I291" s="7" t="str">
        <f>PROPER(Tabela1[[#This Row],[regiao]])</f>
        <v>Terras Da Coroa</v>
      </c>
      <c r="J291" s="8">
        <v>24700</v>
      </c>
      <c r="K291" s="9">
        <v>30500</v>
      </c>
      <c r="L291" s="2" t="s">
        <v>86</v>
      </c>
      <c r="M291" s="2">
        <v>34</v>
      </c>
      <c r="N291" s="2" t="str" cm="1">
        <f t="array" ref="N291">_xlfn.IFS(Tabela1[[#This Row],[qtde_]]="N/A", "N/A",Tabela1[[#This Row],[qtde_]]&lt;11,"BAIXO",Tabela1[[#This Row],[qtde_]]&lt;26,"MÉDIO",Tabela1[[#This Row],[qtde_]]&gt;=26,"ALTO")</f>
        <v>ALTO</v>
      </c>
      <c r="O291" s="12" t="str">
        <f>IF(AND(Tabela1[[#This Row],[nivel_risco]]="ALTO",Tabela1[[#This Row],[flag_inadimplente]] = "Sim"),"negada","aprovada")</f>
        <v>aprovada</v>
      </c>
      <c r="P291" s="12" t="str">
        <f>IF(AND(Tabela1[[#This Row],[credito_tomado]]&gt;50000,Tabela1[[#This Row],[flag_inadimplente]]="Sim"),"negada","aprovada")</f>
        <v>aprovada</v>
      </c>
      <c r="Q291" s="6">
        <v>87500</v>
      </c>
      <c r="R291" s="12" t="e" cm="1">
        <f t="array" ref="R29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92" spans="1:18" ht="15.75" customHeight="1" x14ac:dyDescent="0.2">
      <c r="A292" s="2" t="s">
        <v>96</v>
      </c>
      <c r="B292" s="7" t="s">
        <v>612</v>
      </c>
      <c r="C292" s="1">
        <v>8300</v>
      </c>
      <c r="D292" s="1" t="str">
        <f>TEXT(C292,"000\.000\.000\-00")</f>
        <v>000.000.083-00</v>
      </c>
      <c r="E292" s="2">
        <v>31</v>
      </c>
      <c r="F292" s="3">
        <v>34828</v>
      </c>
      <c r="G292" s="2" t="s">
        <v>89</v>
      </c>
      <c r="H292" s="7" t="s">
        <v>90</v>
      </c>
      <c r="I292" s="7" t="str">
        <f>PROPER(Tabela1[[#This Row],[regiao]])</f>
        <v>Terras Da Coroa</v>
      </c>
      <c r="J292" s="8">
        <v>24900</v>
      </c>
      <c r="K292" s="9">
        <v>72000</v>
      </c>
      <c r="L292" s="2" t="s">
        <v>86</v>
      </c>
      <c r="M292" s="2">
        <v>35</v>
      </c>
      <c r="N292" s="2" t="str" cm="1">
        <f t="array" ref="N292">_xlfn.IFS(Tabela1[[#This Row],[qtde_]]="N/A", "N/A",Tabela1[[#This Row],[qtde_]]&lt;11,"BAIXO",Tabela1[[#This Row],[qtde_]]&lt;26,"MÉDIO",Tabela1[[#This Row],[qtde_]]&gt;=26,"ALTO")</f>
        <v>ALTO</v>
      </c>
      <c r="O292" s="12" t="str">
        <f>IF(AND(Tabela1[[#This Row],[nivel_risco]]="ALTO",Tabela1[[#This Row],[flag_inadimplente]] = "Sim"),"negada","aprovada")</f>
        <v>aprovada</v>
      </c>
      <c r="P292" s="12" t="str">
        <f>IF(AND(Tabela1[[#This Row],[credito_tomado]]&gt;50000,Tabela1[[#This Row],[flag_inadimplente]]="Sim"),"negada","aprovada")</f>
        <v>aprovada</v>
      </c>
      <c r="Q292" s="6">
        <v>79000</v>
      </c>
      <c r="R292" s="12" t="e" cm="1">
        <f t="array" ref="R29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293" spans="1:18" ht="15.75" customHeight="1" x14ac:dyDescent="0.2">
      <c r="A293" s="2" t="s">
        <v>80</v>
      </c>
      <c r="B293" s="7" t="s">
        <v>613</v>
      </c>
      <c r="C293" s="1" t="s">
        <v>614</v>
      </c>
      <c r="D293" s="1" t="str">
        <f>TEXT(C293,"000\.000\.000\-00")</f>
        <v>000.000.208-00</v>
      </c>
      <c r="E293" s="2">
        <v>52</v>
      </c>
      <c r="F293" s="3">
        <v>27088</v>
      </c>
      <c r="G293" s="2" t="s">
        <v>104</v>
      </c>
      <c r="H293" s="7" t="s">
        <v>223</v>
      </c>
      <c r="I293" s="7" t="str">
        <f>PROPER(Tabela1[[#This Row],[regiao]])</f>
        <v>Terras Da Tempestade</v>
      </c>
      <c r="J293" s="8">
        <v>24900</v>
      </c>
      <c r="K293" s="9">
        <v>0</v>
      </c>
      <c r="L293" s="2" t="s">
        <v>86</v>
      </c>
      <c r="M293" s="2">
        <v>24</v>
      </c>
      <c r="N293" s="2" t="str" cm="1">
        <f t="array" ref="N293">_xlfn.IFS(Tabela1[[#This Row],[qtde_]]="N/A", "N/A",Tabela1[[#This Row],[qtde_]]&lt;11,"BAIXO",Tabela1[[#This Row],[qtde_]]&lt;26,"MÉDIO",Tabela1[[#This Row],[qtde_]]&gt;=26,"ALTO")</f>
        <v>MÉDIO</v>
      </c>
      <c r="O293" s="12" t="str">
        <f>IF(AND(Tabela1[[#This Row],[nivel_risco]]="ALTO",Tabela1[[#This Row],[flag_inadimplente]] = "Sim"),"negada","aprovada")</f>
        <v>aprovada</v>
      </c>
      <c r="P293" s="12" t="str">
        <f>IF(AND(Tabela1[[#This Row],[credito_tomado]]&gt;50000,Tabela1[[#This Row],[flag_inadimplente]]="Sim"),"negada","aprovada")</f>
        <v>aprovada</v>
      </c>
      <c r="Q293" s="6">
        <v>16000</v>
      </c>
      <c r="R293" s="12" cm="1">
        <f t="array" ref="R29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1280</v>
      </c>
    </row>
    <row r="294" spans="1:18" ht="15.75" customHeight="1" x14ac:dyDescent="0.2">
      <c r="A294" s="2" t="s">
        <v>80</v>
      </c>
      <c r="B294" s="7" t="s">
        <v>615</v>
      </c>
      <c r="C294" s="1">
        <v>8200</v>
      </c>
      <c r="D294" s="1" t="str">
        <f>TEXT(C294,"000\.000\.000\-00")</f>
        <v>000.000.082-00</v>
      </c>
      <c r="E294" s="2">
        <v>20</v>
      </c>
      <c r="F294" s="3">
        <v>38894</v>
      </c>
      <c r="G294" s="2" t="s">
        <v>156</v>
      </c>
      <c r="H294" s="7" t="s">
        <v>157</v>
      </c>
      <c r="I294" s="7" t="str">
        <f>PROPER(Tabela1[[#This Row],[regiao]])</f>
        <v>Norte</v>
      </c>
      <c r="J294" s="8">
        <v>24900</v>
      </c>
      <c r="K294" s="9">
        <v>0</v>
      </c>
      <c r="L294" s="2" t="s">
        <v>101</v>
      </c>
      <c r="M294" s="2">
        <v>14</v>
      </c>
      <c r="N294" s="2" t="str" cm="1">
        <f t="array" ref="N294">_xlfn.IFS(Tabela1[[#This Row],[qtde_]]="N/A", "N/A",Tabela1[[#This Row],[qtde_]]&lt;11,"BAIXO",Tabela1[[#This Row],[qtde_]]&lt;26,"MÉDIO",Tabela1[[#This Row],[qtde_]]&gt;=26,"ALTO")</f>
        <v>MÉDIO</v>
      </c>
      <c r="O294" s="12" t="str">
        <f>IF(AND(Tabela1[[#This Row],[nivel_risco]]="ALTO",Tabela1[[#This Row],[flag_inadimplente]] = "Sim"),"negada","aprovada")</f>
        <v>aprovada</v>
      </c>
      <c r="P294" s="12" t="str">
        <f>IF(AND(Tabela1[[#This Row],[credito_tomado]]&gt;50000,Tabela1[[#This Row],[flag_inadimplente]]="Sim"),"negada","aprovada")</f>
        <v>aprovada</v>
      </c>
      <c r="Q294" s="6">
        <v>49500</v>
      </c>
      <c r="R294" s="12" cm="1">
        <f t="array" ref="R29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3960</v>
      </c>
    </row>
    <row r="295" spans="1:18" ht="15.75" customHeight="1" x14ac:dyDescent="0.2">
      <c r="A295" s="2" t="s">
        <v>80</v>
      </c>
      <c r="B295" s="7" t="s">
        <v>616</v>
      </c>
      <c r="C295" s="1" t="s">
        <v>617</v>
      </c>
      <c r="D295" s="1" t="str">
        <f>TEXT(C295,"000\.000\.000\-00")</f>
        <v>000.000.326-00</v>
      </c>
      <c r="E295" s="2" t="s">
        <v>83</v>
      </c>
      <c r="F295" s="3">
        <v>19168</v>
      </c>
      <c r="G295" s="2" t="s">
        <v>94</v>
      </c>
      <c r="H295" s="7" t="s">
        <v>162</v>
      </c>
      <c r="I295" s="7" t="str">
        <f>PROPER(Tabela1[[#This Row],[regiao]])</f>
        <v>Ilhas De Ferro</v>
      </c>
      <c r="J295" s="8">
        <v>25000</v>
      </c>
      <c r="K295" s="9">
        <v>0</v>
      </c>
      <c r="L295" s="2" t="s">
        <v>86</v>
      </c>
      <c r="M295" s="2">
        <v>3</v>
      </c>
      <c r="N295" s="2" t="str" cm="1">
        <f t="array" ref="N295">_xlfn.IFS(Tabela1[[#This Row],[qtde_]]="N/A", "N/A",Tabela1[[#This Row],[qtde_]]&lt;11,"BAIXO",Tabela1[[#This Row],[qtde_]]&lt;26,"MÉDIO",Tabela1[[#This Row],[qtde_]]&gt;=26,"ALTO")</f>
        <v>BAIXO</v>
      </c>
      <c r="O295" s="12" t="str">
        <f>IF(AND(Tabela1[[#This Row],[nivel_risco]]="ALTO",Tabela1[[#This Row],[flag_inadimplente]] = "Sim"),"negada","aprovada")</f>
        <v>aprovada</v>
      </c>
      <c r="P295" s="12" t="str">
        <f>IF(AND(Tabela1[[#This Row],[credito_tomado]]&gt;50000,Tabela1[[#This Row],[flag_inadimplente]]="Sim"),"negada","aprovada")</f>
        <v>aprovada</v>
      </c>
      <c r="Q295" s="6">
        <v>2500</v>
      </c>
      <c r="R295" s="12" cm="1">
        <f t="array" ref="R29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200</v>
      </c>
    </row>
    <row r="296" spans="1:18" ht="15.75" customHeight="1" x14ac:dyDescent="0.2">
      <c r="A296" s="2" t="s">
        <v>80</v>
      </c>
      <c r="B296" s="7" t="s">
        <v>613</v>
      </c>
      <c r="C296" s="1" t="s">
        <v>618</v>
      </c>
      <c r="D296" s="1" t="str">
        <f>TEXT(C296,"000\.000\.000\-00")</f>
        <v>000.000.004-00</v>
      </c>
      <c r="E296" s="2">
        <v>26</v>
      </c>
      <c r="F296" s="3">
        <v>36671</v>
      </c>
      <c r="G296" s="2" t="s">
        <v>104</v>
      </c>
      <c r="H296" s="7" t="s">
        <v>230</v>
      </c>
      <c r="I296" s="7" t="str">
        <f>PROPER(Tabela1[[#This Row],[regiao]])</f>
        <v>Terras Da Tempestade</v>
      </c>
      <c r="J296" s="8">
        <v>25000</v>
      </c>
      <c r="K296" s="9">
        <v>1000</v>
      </c>
      <c r="L296" s="2" t="s">
        <v>86</v>
      </c>
      <c r="M296" s="2">
        <v>16</v>
      </c>
      <c r="N296" s="2" t="str" cm="1">
        <f t="array" ref="N296">_xlfn.IFS(Tabela1[[#This Row],[qtde_]]="N/A", "N/A",Tabela1[[#This Row],[qtde_]]&lt;11,"BAIXO",Tabela1[[#This Row],[qtde_]]&lt;26,"MÉDIO",Tabela1[[#This Row],[qtde_]]&gt;=26,"ALTO")</f>
        <v>MÉDIO</v>
      </c>
      <c r="O296" s="12" t="str">
        <f>IF(AND(Tabela1[[#This Row],[nivel_risco]]="ALTO",Tabela1[[#This Row],[flag_inadimplente]] = "Sim"),"negada","aprovada")</f>
        <v>aprovada</v>
      </c>
      <c r="P296" s="12" t="str">
        <f>IF(AND(Tabela1[[#This Row],[credito_tomado]]&gt;50000,Tabela1[[#This Row],[flag_inadimplente]]="Sim"),"negada","aprovada")</f>
        <v>aprovada</v>
      </c>
      <c r="Q296" s="6">
        <v>10500</v>
      </c>
      <c r="R296" s="12" cm="1">
        <f t="array" ref="R29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840</v>
      </c>
    </row>
    <row r="297" spans="1:18" ht="15.75" customHeight="1" x14ac:dyDescent="0.2">
      <c r="A297" s="2" t="s">
        <v>80</v>
      </c>
      <c r="B297" s="7" t="s">
        <v>619</v>
      </c>
      <c r="C297" s="1" t="s">
        <v>620</v>
      </c>
      <c r="D297" s="1" t="str">
        <f>TEXT(C297,"000\.000\.000\-00")</f>
        <v>000.000.152-00</v>
      </c>
      <c r="E297" s="2">
        <v>69</v>
      </c>
      <c r="F297" s="3">
        <v>21051</v>
      </c>
      <c r="G297" s="2" t="s">
        <v>104</v>
      </c>
      <c r="H297" s="7" t="s">
        <v>105</v>
      </c>
      <c r="I297" s="7" t="str">
        <f>PROPER(Tabela1[[#This Row],[regiao]])</f>
        <v>Terras Da Tempestade</v>
      </c>
      <c r="J297" s="8">
        <v>25100</v>
      </c>
      <c r="K297" s="9">
        <v>40500</v>
      </c>
      <c r="L297" s="2" t="s">
        <v>86</v>
      </c>
      <c r="M297" s="2">
        <v>43</v>
      </c>
      <c r="N297" s="2" t="str" cm="1">
        <f t="array" ref="N297">_xlfn.IFS(Tabela1[[#This Row],[qtde_]]="N/A", "N/A",Tabela1[[#This Row],[qtde_]]&lt;11,"BAIXO",Tabela1[[#This Row],[qtde_]]&lt;26,"MÉDIO",Tabela1[[#This Row],[qtde_]]&gt;=26,"ALTO")</f>
        <v>ALTO</v>
      </c>
      <c r="O297" s="12" t="str">
        <f>IF(AND(Tabela1[[#This Row],[nivel_risco]]="ALTO",Tabela1[[#This Row],[flag_inadimplente]] = "Sim"),"negada","aprovada")</f>
        <v>aprovada</v>
      </c>
      <c r="P297" s="12" t="str">
        <f>IF(AND(Tabela1[[#This Row],[credito_tomado]]&gt;50000,Tabela1[[#This Row],[flag_inadimplente]]="Sim"),"negada","aprovada")</f>
        <v>aprovada</v>
      </c>
      <c r="Q297" s="6">
        <v>24500</v>
      </c>
      <c r="R297" s="12" cm="1">
        <f t="array" ref="R29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1960</v>
      </c>
    </row>
    <row r="298" spans="1:18" ht="15.75" customHeight="1" x14ac:dyDescent="0.2">
      <c r="A298" s="2" t="s">
        <v>80</v>
      </c>
      <c r="B298" s="7" t="s">
        <v>621</v>
      </c>
      <c r="C298" s="1" t="s">
        <v>622</v>
      </c>
      <c r="D298" s="1" t="str">
        <f>TEXT(C298,"000\.000\.000\-00")</f>
        <v>000.000.323-00</v>
      </c>
      <c r="E298" s="2">
        <v>24</v>
      </c>
      <c r="F298" s="3">
        <v>37259</v>
      </c>
      <c r="G298" s="2" t="s">
        <v>115</v>
      </c>
      <c r="H298" s="7" t="s">
        <v>115</v>
      </c>
      <c r="I298" s="7" t="str">
        <f>PROPER(Tabela1[[#This Row],[regiao]])</f>
        <v>Dorne</v>
      </c>
      <c r="J298" s="8">
        <v>25200</v>
      </c>
      <c r="K298" s="9">
        <v>0</v>
      </c>
      <c r="L298" s="2" t="s">
        <v>86</v>
      </c>
      <c r="M298" s="2">
        <v>10</v>
      </c>
      <c r="N298" s="2" t="str" cm="1">
        <f t="array" ref="N298">_xlfn.IFS(Tabela1[[#This Row],[qtde_]]="N/A", "N/A",Tabela1[[#This Row],[qtde_]]&lt;11,"BAIXO",Tabela1[[#This Row],[qtde_]]&lt;26,"MÉDIO",Tabela1[[#This Row],[qtde_]]&gt;=26,"ALTO")</f>
        <v>BAIXO</v>
      </c>
      <c r="O298" s="12" t="str">
        <f>IF(AND(Tabela1[[#This Row],[nivel_risco]]="ALTO",Tabela1[[#This Row],[flag_inadimplente]] = "Sim"),"negada","aprovada")</f>
        <v>aprovada</v>
      </c>
      <c r="P298" s="12" t="str">
        <f>IF(AND(Tabela1[[#This Row],[credito_tomado]]&gt;50000,Tabela1[[#This Row],[flag_inadimplente]]="Sim"),"negada","aprovada")</f>
        <v>aprovada</v>
      </c>
      <c r="Q298" s="6">
        <v>69500</v>
      </c>
      <c r="R298" s="12" cm="1">
        <f t="array" ref="R29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5560</v>
      </c>
    </row>
    <row r="299" spans="1:18" ht="15.75" customHeight="1" x14ac:dyDescent="0.2">
      <c r="A299" s="2" t="s">
        <v>96</v>
      </c>
      <c r="B299" s="7" t="s">
        <v>623</v>
      </c>
      <c r="C299" s="1" t="s">
        <v>624</v>
      </c>
      <c r="D299" s="1" t="str">
        <f>TEXT(C299,"000\.000\.000\-00")</f>
        <v>000.000.122-00</v>
      </c>
      <c r="E299" s="2">
        <v>49</v>
      </c>
      <c r="F299" s="3">
        <v>28049</v>
      </c>
      <c r="G299" s="2" t="s">
        <v>112</v>
      </c>
      <c r="H299" s="7" t="s">
        <v>113</v>
      </c>
      <c r="I299" s="7" t="str">
        <f>PROPER(Tabela1[[#This Row],[regiao]])</f>
        <v>Norte</v>
      </c>
      <c r="J299" s="8">
        <v>25200</v>
      </c>
      <c r="K299" s="9">
        <v>59500</v>
      </c>
      <c r="L299" s="2" t="s">
        <v>86</v>
      </c>
      <c r="M299" s="2">
        <v>37</v>
      </c>
      <c r="N299" s="2" t="str" cm="1">
        <f t="array" ref="N299">_xlfn.IFS(Tabela1[[#This Row],[qtde_]]="N/A", "N/A",Tabela1[[#This Row],[qtde_]]&lt;11,"BAIXO",Tabela1[[#This Row],[qtde_]]&lt;26,"MÉDIO",Tabela1[[#This Row],[qtde_]]&gt;=26,"ALTO")</f>
        <v>ALTO</v>
      </c>
      <c r="O299" s="12" t="str">
        <f>IF(AND(Tabela1[[#This Row],[nivel_risco]]="ALTO",Tabela1[[#This Row],[flag_inadimplente]] = "Sim"),"negada","aprovada")</f>
        <v>aprovada</v>
      </c>
      <c r="P299" s="12" t="str">
        <f>IF(AND(Tabela1[[#This Row],[credito_tomado]]&gt;50000,Tabela1[[#This Row],[flag_inadimplente]]="Sim"),"negada","aprovada")</f>
        <v>aprovada</v>
      </c>
      <c r="Q299" s="6">
        <v>86500</v>
      </c>
      <c r="R299" s="12" t="e" cm="1">
        <f t="array" ref="R29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0" spans="1:18" ht="15.75" customHeight="1" x14ac:dyDescent="0.2">
      <c r="A300" s="2" t="s">
        <v>80</v>
      </c>
      <c r="B300" s="7" t="s">
        <v>625</v>
      </c>
      <c r="C300" s="1" t="s">
        <v>626</v>
      </c>
      <c r="D300" s="1" t="str">
        <f>TEXT(C300,"000\.000\.000\-00")</f>
        <v>000.000.287-00</v>
      </c>
      <c r="E300" s="2">
        <v>58</v>
      </c>
      <c r="F300" s="3">
        <v>24911</v>
      </c>
      <c r="G300" s="2" t="s">
        <v>132</v>
      </c>
      <c r="H300" s="7" t="s">
        <v>141</v>
      </c>
      <c r="I300" s="7" t="str">
        <f>PROPER(Tabela1[[#This Row],[regiao]])</f>
        <v>Terras Fluviais</v>
      </c>
      <c r="J300" s="8">
        <v>25400</v>
      </c>
      <c r="K300" s="9">
        <v>70500</v>
      </c>
      <c r="L300" s="2" t="s">
        <v>101</v>
      </c>
      <c r="M300" s="2">
        <v>11</v>
      </c>
      <c r="N300" s="2" t="str" cm="1">
        <f t="array" ref="N300">_xlfn.IFS(Tabela1[[#This Row],[qtde_]]="N/A", "N/A",Tabela1[[#This Row],[qtde_]]&lt;11,"BAIXO",Tabela1[[#This Row],[qtde_]]&lt;26,"MÉDIO",Tabela1[[#This Row],[qtde_]]&gt;=26,"ALTO")</f>
        <v>MÉDIO</v>
      </c>
      <c r="O300" s="12" t="str">
        <f>IF(AND(Tabela1[[#This Row],[nivel_risco]]="ALTO",Tabela1[[#This Row],[flag_inadimplente]] = "Sim"),"negada","aprovada")</f>
        <v>aprovada</v>
      </c>
      <c r="P300" s="12" t="str">
        <f>IF(AND(Tabela1[[#This Row],[credito_tomado]]&gt;50000,Tabela1[[#This Row],[flag_inadimplente]]="Sim"),"negada","aprovada")</f>
        <v>negada</v>
      </c>
      <c r="Q300" s="6">
        <v>47000</v>
      </c>
      <c r="R300" s="12" t="e" cm="1">
        <f t="array" ref="R30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1" spans="1:18" ht="15.75" customHeight="1" x14ac:dyDescent="0.2">
      <c r="A301" s="2" t="s">
        <v>80</v>
      </c>
      <c r="B301" s="7" t="s">
        <v>627</v>
      </c>
      <c r="C301" s="1" t="s">
        <v>628</v>
      </c>
      <c r="D301" s="1" t="str">
        <f>TEXT(C301,"000\.000\.000\-00")</f>
        <v>000.000.227-00</v>
      </c>
      <c r="E301" s="2">
        <v>25</v>
      </c>
      <c r="F301" s="3">
        <v>37056</v>
      </c>
      <c r="G301" s="2" t="s">
        <v>99</v>
      </c>
      <c r="H301" s="7" t="s">
        <v>113</v>
      </c>
      <c r="I301" s="7" t="str">
        <f>PROPER(Tabela1[[#This Row],[regiao]])</f>
        <v>Norte</v>
      </c>
      <c r="J301" s="8">
        <v>25400</v>
      </c>
      <c r="K301" s="9">
        <v>4000</v>
      </c>
      <c r="L301" s="2" t="s">
        <v>86</v>
      </c>
      <c r="M301" s="2">
        <v>4</v>
      </c>
      <c r="N301" s="2" t="str" cm="1">
        <f t="array" ref="N301">_xlfn.IFS(Tabela1[[#This Row],[qtde_]]="N/A", "N/A",Tabela1[[#This Row],[qtde_]]&lt;11,"BAIXO",Tabela1[[#This Row],[qtde_]]&lt;26,"MÉDIO",Tabela1[[#This Row],[qtde_]]&gt;=26,"ALTO")</f>
        <v>BAIXO</v>
      </c>
      <c r="O301" s="12" t="str">
        <f>IF(AND(Tabela1[[#This Row],[nivel_risco]]="ALTO",Tabela1[[#This Row],[flag_inadimplente]] = "Sim"),"negada","aprovada")</f>
        <v>aprovada</v>
      </c>
      <c r="P301" s="12" t="str">
        <f>IF(AND(Tabela1[[#This Row],[credito_tomado]]&gt;50000,Tabela1[[#This Row],[flag_inadimplente]]="Sim"),"negada","aprovada")</f>
        <v>aprovada</v>
      </c>
      <c r="Q301" s="6">
        <v>8500</v>
      </c>
      <c r="R301" s="12" cm="1">
        <f t="array" ref="R30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680</v>
      </c>
    </row>
    <row r="302" spans="1:18" ht="15.75" customHeight="1" x14ac:dyDescent="0.2">
      <c r="A302" s="2" t="s">
        <v>96</v>
      </c>
      <c r="B302" s="7" t="s">
        <v>629</v>
      </c>
      <c r="C302" s="1" t="s">
        <v>630</v>
      </c>
      <c r="D302" s="1" t="str">
        <f>TEXT(C302,"000\.000\.000\-00")</f>
        <v>000.000.186-00</v>
      </c>
      <c r="E302" s="2">
        <v>33</v>
      </c>
      <c r="F302" s="3">
        <v>33955</v>
      </c>
      <c r="G302" s="2" t="s">
        <v>267</v>
      </c>
      <c r="H302" s="7" t="s">
        <v>113</v>
      </c>
      <c r="I302" s="7" t="str">
        <f>PROPER(Tabela1[[#This Row],[regiao]])</f>
        <v>Norte</v>
      </c>
      <c r="J302" s="8">
        <v>25700</v>
      </c>
      <c r="K302" s="9">
        <v>35000</v>
      </c>
      <c r="L302" s="2" t="s">
        <v>86</v>
      </c>
      <c r="M302" s="2">
        <v>40</v>
      </c>
      <c r="N302" s="2" t="str" cm="1">
        <f t="array" ref="N302">_xlfn.IFS(Tabela1[[#This Row],[qtde_]]="N/A", "N/A",Tabela1[[#This Row],[qtde_]]&lt;11,"BAIXO",Tabela1[[#This Row],[qtde_]]&lt;26,"MÉDIO",Tabela1[[#This Row],[qtde_]]&gt;=26,"ALTO")</f>
        <v>ALTO</v>
      </c>
      <c r="O302" s="12" t="str">
        <f>IF(AND(Tabela1[[#This Row],[nivel_risco]]="ALTO",Tabela1[[#This Row],[flag_inadimplente]] = "Sim"),"negada","aprovada")</f>
        <v>aprovada</v>
      </c>
      <c r="P302" s="12" t="str">
        <f>IF(AND(Tabela1[[#This Row],[credito_tomado]]&gt;50000,Tabela1[[#This Row],[flag_inadimplente]]="Sim"),"negada","aprovada")</f>
        <v>aprovada</v>
      </c>
      <c r="Q302" s="6">
        <v>1000</v>
      </c>
      <c r="R302" s="12" t="e" cm="1">
        <f t="array" ref="R30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3" spans="1:18" ht="15.75" customHeight="1" x14ac:dyDescent="0.2">
      <c r="A303" s="2" t="s">
        <v>96</v>
      </c>
      <c r="B303" s="7" t="s">
        <v>631</v>
      </c>
      <c r="C303" s="1">
        <v>11700</v>
      </c>
      <c r="D303" s="1" t="str">
        <f>TEXT(C303,"000\.000\.000\-00")</f>
        <v>000.000.117-00</v>
      </c>
      <c r="E303" s="2">
        <v>27</v>
      </c>
      <c r="F303" s="3">
        <v>36151</v>
      </c>
      <c r="G303" s="2" t="s">
        <v>267</v>
      </c>
      <c r="H303" s="7" t="s">
        <v>113</v>
      </c>
      <c r="I303" s="7" t="str">
        <f>PROPER(Tabela1[[#This Row],[regiao]])</f>
        <v>Norte</v>
      </c>
      <c r="J303" s="8">
        <v>25900</v>
      </c>
      <c r="K303" s="9">
        <v>0</v>
      </c>
      <c r="L303" s="2" t="s">
        <v>101</v>
      </c>
      <c r="M303" s="2">
        <v>10</v>
      </c>
      <c r="N303" s="2" t="str" cm="1">
        <f t="array" ref="N303">_xlfn.IFS(Tabela1[[#This Row],[qtde_]]="N/A", "N/A",Tabela1[[#This Row],[qtde_]]&lt;11,"BAIXO",Tabela1[[#This Row],[qtde_]]&lt;26,"MÉDIO",Tabela1[[#This Row],[qtde_]]&gt;=26,"ALTO")</f>
        <v>BAIXO</v>
      </c>
      <c r="O303" s="12" t="str">
        <f>IF(AND(Tabela1[[#This Row],[nivel_risco]]="ALTO",Tabela1[[#This Row],[flag_inadimplente]] = "Sim"),"negada","aprovada")</f>
        <v>aprovada</v>
      </c>
      <c r="P303" s="12" t="str">
        <f>IF(AND(Tabela1[[#This Row],[credito_tomado]]&gt;50000,Tabela1[[#This Row],[flag_inadimplente]]="Sim"),"negada","aprovada")</f>
        <v>aprovada</v>
      </c>
      <c r="Q303" s="6">
        <v>5000</v>
      </c>
      <c r="R303" s="12" t="e" cm="1">
        <f t="array" ref="R30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4" spans="1:18" ht="15.75" customHeight="1" x14ac:dyDescent="0.2">
      <c r="A304" s="2" t="s">
        <v>80</v>
      </c>
      <c r="B304" s="7" t="s">
        <v>510</v>
      </c>
      <c r="C304" s="1" t="s">
        <v>632</v>
      </c>
      <c r="D304" s="1" t="str">
        <f>TEXT(C304,"000\.000\.000\-00")</f>
        <v>000.000.104-00</v>
      </c>
      <c r="E304" s="2">
        <v>51</v>
      </c>
      <c r="F304" s="3">
        <v>27421</v>
      </c>
      <c r="G304" s="2" t="s">
        <v>115</v>
      </c>
      <c r="H304" s="7" t="s">
        <v>115</v>
      </c>
      <c r="I304" s="7" t="str">
        <f>PROPER(Tabela1[[#This Row],[regiao]])</f>
        <v>Dorne</v>
      </c>
      <c r="J304" s="8">
        <v>26000</v>
      </c>
      <c r="K304" s="9">
        <v>47500</v>
      </c>
      <c r="L304" s="2" t="s">
        <v>86</v>
      </c>
      <c r="M304" s="2">
        <v>45</v>
      </c>
      <c r="N304" s="2" t="str" cm="1">
        <f t="array" ref="N304">_xlfn.IFS(Tabela1[[#This Row],[qtde_]]="N/A", "N/A",Tabela1[[#This Row],[qtde_]]&lt;11,"BAIXO",Tabela1[[#This Row],[qtde_]]&lt;26,"MÉDIO",Tabela1[[#This Row],[qtde_]]&gt;=26,"ALTO")</f>
        <v>ALTO</v>
      </c>
      <c r="O304" s="12" t="str">
        <f>IF(AND(Tabela1[[#This Row],[nivel_risco]]="ALTO",Tabela1[[#This Row],[flag_inadimplente]] = "Sim"),"negada","aprovada")</f>
        <v>aprovada</v>
      </c>
      <c r="P304" s="12" t="str">
        <f>IF(AND(Tabela1[[#This Row],[credito_tomado]]&gt;50000,Tabela1[[#This Row],[flag_inadimplente]]="Sim"),"negada","aprovada")</f>
        <v>aprovada</v>
      </c>
      <c r="Q304" s="6">
        <v>60500</v>
      </c>
      <c r="R304" s="12" cm="1">
        <f t="array" ref="R30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4840</v>
      </c>
    </row>
    <row r="305" spans="1:18" ht="15.75" customHeight="1" x14ac:dyDescent="0.2">
      <c r="A305" s="2" t="s">
        <v>83</v>
      </c>
      <c r="B305" s="7" t="s">
        <v>633</v>
      </c>
      <c r="C305" s="1" t="s">
        <v>634</v>
      </c>
      <c r="D305" s="1" t="str">
        <f>TEXT(C305,"000\.000\.000\-00")</f>
        <v>000.000.169-00</v>
      </c>
      <c r="E305" s="2">
        <v>61</v>
      </c>
      <c r="F305" s="3">
        <v>23813</v>
      </c>
      <c r="G305" s="2" t="s">
        <v>124</v>
      </c>
      <c r="H305" s="7" t="s">
        <v>139</v>
      </c>
      <c r="I305" s="7" t="str">
        <f>PROPER(Tabela1[[#This Row],[regiao]])</f>
        <v>Essos</v>
      </c>
      <c r="J305" s="8">
        <v>26300</v>
      </c>
      <c r="K305" s="9">
        <v>40000</v>
      </c>
      <c r="L305" s="2" t="s">
        <v>101</v>
      </c>
      <c r="M305" s="2">
        <v>10</v>
      </c>
      <c r="N305" s="2" t="str" cm="1">
        <f t="array" ref="N305">_xlfn.IFS(Tabela1[[#This Row],[qtde_]]="N/A", "N/A",Tabela1[[#This Row],[qtde_]]&lt;11,"BAIXO",Tabela1[[#This Row],[qtde_]]&lt;26,"MÉDIO",Tabela1[[#This Row],[qtde_]]&gt;=26,"ALTO")</f>
        <v>BAIXO</v>
      </c>
      <c r="O305" s="12" t="str">
        <f>IF(AND(Tabela1[[#This Row],[nivel_risco]]="ALTO",Tabela1[[#This Row],[flag_inadimplente]] = "Sim"),"negada","aprovada")</f>
        <v>aprovada</v>
      </c>
      <c r="P305" s="12" t="str">
        <f>IF(AND(Tabela1[[#This Row],[credito_tomado]]&gt;50000,Tabela1[[#This Row],[flag_inadimplente]]="Sim"),"negada","aprovada")</f>
        <v>aprovada</v>
      </c>
      <c r="Q305" s="6">
        <v>16500</v>
      </c>
      <c r="R305" s="12" t="e" cm="1">
        <f t="array" ref="R30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6" spans="1:18" ht="15.75" customHeight="1" x14ac:dyDescent="0.2">
      <c r="A306" s="2" t="s">
        <v>96</v>
      </c>
      <c r="B306" s="7" t="s">
        <v>635</v>
      </c>
      <c r="C306" s="1">
        <v>23000</v>
      </c>
      <c r="D306" s="1" t="str">
        <f>TEXT(C306,"000\.000\.000\-00")</f>
        <v>000.000.230-00</v>
      </c>
      <c r="E306" s="2">
        <v>53</v>
      </c>
      <c r="F306" s="3">
        <v>26744</v>
      </c>
      <c r="G306" s="2" t="s">
        <v>94</v>
      </c>
      <c r="H306" s="7" t="s">
        <v>162</v>
      </c>
      <c r="I306" s="7" t="str">
        <f>PROPER(Tabela1[[#This Row],[regiao]])</f>
        <v>Ilhas De Ferro</v>
      </c>
      <c r="J306" s="8">
        <v>26400</v>
      </c>
      <c r="K306" s="9">
        <v>9500</v>
      </c>
      <c r="L306" s="2" t="s">
        <v>86</v>
      </c>
      <c r="M306" s="2">
        <v>21</v>
      </c>
      <c r="N306" s="2" t="str" cm="1">
        <f t="array" ref="N306">_xlfn.IFS(Tabela1[[#This Row],[qtde_]]="N/A", "N/A",Tabela1[[#This Row],[qtde_]]&lt;11,"BAIXO",Tabela1[[#This Row],[qtde_]]&lt;26,"MÉDIO",Tabela1[[#This Row],[qtde_]]&gt;=26,"ALTO")</f>
        <v>MÉDIO</v>
      </c>
      <c r="O306" s="12" t="str">
        <f>IF(AND(Tabela1[[#This Row],[nivel_risco]]="ALTO",Tabela1[[#This Row],[flag_inadimplente]] = "Sim"),"negada","aprovada")</f>
        <v>aprovada</v>
      </c>
      <c r="P306" s="12" t="str">
        <f>IF(AND(Tabela1[[#This Row],[credito_tomado]]&gt;50000,Tabela1[[#This Row],[flag_inadimplente]]="Sim"),"negada","aprovada")</f>
        <v>aprovada</v>
      </c>
      <c r="Q306" s="6">
        <v>16000</v>
      </c>
      <c r="R306" s="12" t="e" cm="1">
        <f t="array" ref="R30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7" spans="1:18" ht="15.75" customHeight="1" x14ac:dyDescent="0.2">
      <c r="A307" s="2" t="s">
        <v>96</v>
      </c>
      <c r="B307" s="7" t="s">
        <v>636</v>
      </c>
      <c r="C307" s="1" t="s">
        <v>637</v>
      </c>
      <c r="D307" s="1" t="str">
        <f>TEXT(C307,"000\.000\.000\-00")</f>
        <v>000.000.027-00</v>
      </c>
      <c r="E307" s="2">
        <v>30</v>
      </c>
      <c r="F307" s="3">
        <v>35200</v>
      </c>
      <c r="G307" s="2" t="s">
        <v>124</v>
      </c>
      <c r="H307" s="7" t="s">
        <v>125</v>
      </c>
      <c r="I307" s="7" t="str">
        <f>PROPER(Tabela1[[#This Row],[regiao]])</f>
        <v>Essos</v>
      </c>
      <c r="J307" s="8">
        <v>26500</v>
      </c>
      <c r="K307" s="9">
        <v>14500</v>
      </c>
      <c r="L307" s="2" t="s">
        <v>86</v>
      </c>
      <c r="M307" s="2">
        <v>15</v>
      </c>
      <c r="N307" s="2" t="str" cm="1">
        <f t="array" ref="N307">_xlfn.IFS(Tabela1[[#This Row],[qtde_]]="N/A", "N/A",Tabela1[[#This Row],[qtde_]]&lt;11,"BAIXO",Tabela1[[#This Row],[qtde_]]&lt;26,"MÉDIO",Tabela1[[#This Row],[qtde_]]&gt;=26,"ALTO")</f>
        <v>MÉDIO</v>
      </c>
      <c r="O307" s="12" t="str">
        <f>IF(AND(Tabela1[[#This Row],[nivel_risco]]="ALTO",Tabela1[[#This Row],[flag_inadimplente]] = "Sim"),"negada","aprovada")</f>
        <v>aprovada</v>
      </c>
      <c r="P307" s="12" t="str">
        <f>IF(AND(Tabela1[[#This Row],[credito_tomado]]&gt;50000,Tabela1[[#This Row],[flag_inadimplente]]="Sim"),"negada","aprovada")</f>
        <v>aprovada</v>
      </c>
      <c r="Q307" s="6">
        <v>65500</v>
      </c>
      <c r="R307" s="12" t="e" cm="1">
        <f t="array" ref="R30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8" spans="1:18" ht="15.75" customHeight="1" x14ac:dyDescent="0.2">
      <c r="A308" s="2" t="s">
        <v>96</v>
      </c>
      <c r="B308" s="7" t="s">
        <v>636</v>
      </c>
      <c r="C308" s="1" t="s">
        <v>637</v>
      </c>
      <c r="D308" s="1" t="str">
        <f>TEXT(C308,"000\.000\.000\-00")</f>
        <v>000.000.027-00</v>
      </c>
      <c r="E308" s="2">
        <v>30</v>
      </c>
      <c r="F308" s="3">
        <v>35200</v>
      </c>
      <c r="G308" s="2" t="s">
        <v>124</v>
      </c>
      <c r="H308" s="7" t="s">
        <v>125</v>
      </c>
      <c r="I308" s="7" t="str">
        <f>PROPER(Tabela1[[#This Row],[regiao]])</f>
        <v>Essos</v>
      </c>
      <c r="J308" s="8">
        <v>26500</v>
      </c>
      <c r="K308" s="9">
        <v>14500</v>
      </c>
      <c r="L308" s="2" t="s">
        <v>86</v>
      </c>
      <c r="M308" s="2">
        <v>15</v>
      </c>
      <c r="N308" s="2" t="str" cm="1">
        <f t="array" ref="N308">_xlfn.IFS(Tabela1[[#This Row],[qtde_]]="N/A", "N/A",Tabela1[[#This Row],[qtde_]]&lt;11,"BAIXO",Tabela1[[#This Row],[qtde_]]&lt;26,"MÉDIO",Tabela1[[#This Row],[qtde_]]&gt;=26,"ALTO")</f>
        <v>MÉDIO</v>
      </c>
      <c r="O308" s="12" t="str">
        <f>IF(AND(Tabela1[[#This Row],[nivel_risco]]="ALTO",Tabela1[[#This Row],[flag_inadimplente]] = "Sim"),"negada","aprovada")</f>
        <v>aprovada</v>
      </c>
      <c r="P308" s="12" t="str">
        <f>IF(AND(Tabela1[[#This Row],[credito_tomado]]&gt;50000,Tabela1[[#This Row],[flag_inadimplente]]="Sim"),"negada","aprovada")</f>
        <v>aprovada</v>
      </c>
      <c r="Q308" s="6">
        <v>39000</v>
      </c>
      <c r="R308" s="12" t="e" cm="1">
        <f t="array" ref="R30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09" spans="1:18" ht="15.75" customHeight="1" x14ac:dyDescent="0.2">
      <c r="A309" s="2" t="s">
        <v>80</v>
      </c>
      <c r="B309" s="7" t="s">
        <v>372</v>
      </c>
      <c r="C309" s="1" t="s">
        <v>638</v>
      </c>
      <c r="D309" s="1" t="str">
        <f>TEXT(C309,"000\.000\.000\-00")</f>
        <v>000.000.280-00</v>
      </c>
      <c r="E309" s="2">
        <v>41</v>
      </c>
      <c r="F309" s="3">
        <v>31156</v>
      </c>
      <c r="G309" s="2" t="s">
        <v>99</v>
      </c>
      <c r="H309" s="7" t="s">
        <v>100</v>
      </c>
      <c r="I309" s="7" t="str">
        <f>PROPER(Tabela1[[#This Row],[regiao]])</f>
        <v>Norte</v>
      </c>
      <c r="J309" s="8">
        <v>26500</v>
      </c>
      <c r="K309" s="9">
        <v>29500</v>
      </c>
      <c r="L309" s="2" t="s">
        <v>86</v>
      </c>
      <c r="M309" s="2">
        <v>5</v>
      </c>
      <c r="N309" s="2" t="str" cm="1">
        <f t="array" ref="N309">_xlfn.IFS(Tabela1[[#This Row],[qtde_]]="N/A", "N/A",Tabela1[[#This Row],[qtde_]]&lt;11,"BAIXO",Tabela1[[#This Row],[qtde_]]&lt;26,"MÉDIO",Tabela1[[#This Row],[qtde_]]&gt;=26,"ALTO")</f>
        <v>BAIXO</v>
      </c>
      <c r="O309" s="12" t="str">
        <f>IF(AND(Tabela1[[#This Row],[nivel_risco]]="ALTO",Tabela1[[#This Row],[flag_inadimplente]] = "Sim"),"negada","aprovada")</f>
        <v>aprovada</v>
      </c>
      <c r="P309" s="12" t="str">
        <f>IF(AND(Tabela1[[#This Row],[credito_tomado]]&gt;50000,Tabela1[[#This Row],[flag_inadimplente]]="Sim"),"negada","aprovada")</f>
        <v>aprovada</v>
      </c>
      <c r="Q309" s="6">
        <v>75000</v>
      </c>
      <c r="R309" s="12" cm="1">
        <f t="array" ref="R30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6000</v>
      </c>
    </row>
    <row r="310" spans="1:18" ht="15.75" customHeight="1" x14ac:dyDescent="0.2">
      <c r="A310" s="2" t="s">
        <v>80</v>
      </c>
      <c r="B310" s="7" t="s">
        <v>639</v>
      </c>
      <c r="C310" s="1" t="s">
        <v>640</v>
      </c>
      <c r="D310" s="1" t="str">
        <f>TEXT(C310,"000\.000\.000\-00")</f>
        <v>000.000.143-00</v>
      </c>
      <c r="E310" s="2">
        <v>26</v>
      </c>
      <c r="F310" s="3">
        <v>36619</v>
      </c>
      <c r="G310" s="2" t="s">
        <v>132</v>
      </c>
      <c r="H310" s="7" t="s">
        <v>141</v>
      </c>
      <c r="I310" s="7" t="str">
        <f>PROPER(Tabela1[[#This Row],[regiao]])</f>
        <v>Terras Fluviais</v>
      </c>
      <c r="J310" s="8">
        <v>26800</v>
      </c>
      <c r="K310" s="9">
        <v>42500</v>
      </c>
      <c r="L310" s="2" t="s">
        <v>101</v>
      </c>
      <c r="M310" s="2">
        <v>29</v>
      </c>
      <c r="N310" s="2" t="str" cm="1">
        <f t="array" ref="N310">_xlfn.IFS(Tabela1[[#This Row],[qtde_]]="N/A", "N/A",Tabela1[[#This Row],[qtde_]]&lt;11,"BAIXO",Tabela1[[#This Row],[qtde_]]&lt;26,"MÉDIO",Tabela1[[#This Row],[qtde_]]&gt;=26,"ALTO")</f>
        <v>ALTO</v>
      </c>
      <c r="O310" s="12" t="str">
        <f>IF(AND(Tabela1[[#This Row],[nivel_risco]]="ALTO",Tabela1[[#This Row],[flag_inadimplente]] = "Sim"),"negada","aprovada")</f>
        <v>negada</v>
      </c>
      <c r="P310" s="12" t="str">
        <f>IF(AND(Tabela1[[#This Row],[credito_tomado]]&gt;50000,Tabela1[[#This Row],[flag_inadimplente]]="Sim"),"negada","aprovada")</f>
        <v>aprovada</v>
      </c>
      <c r="Q310" s="6">
        <v>66000</v>
      </c>
      <c r="R310" s="12" t="e" cm="1">
        <f t="array" ref="R31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11" spans="1:18" ht="15.75" customHeight="1" x14ac:dyDescent="0.2">
      <c r="A311" s="2" t="s">
        <v>80</v>
      </c>
      <c r="B311" s="7" t="s">
        <v>641</v>
      </c>
      <c r="C311" s="1" t="s">
        <v>642</v>
      </c>
      <c r="D311" s="1" t="str">
        <f>TEXT(C311,"000\.000\.000\-00")</f>
        <v>000.000.197-00</v>
      </c>
      <c r="E311" s="2">
        <v>53</v>
      </c>
      <c r="F311" s="3">
        <v>26898</v>
      </c>
      <c r="G311" s="2" t="s">
        <v>99</v>
      </c>
      <c r="H311" s="7" t="s">
        <v>113</v>
      </c>
      <c r="I311" s="7" t="str">
        <f>PROPER(Tabela1[[#This Row],[regiao]])</f>
        <v>Norte</v>
      </c>
      <c r="J311" s="8">
        <v>27100</v>
      </c>
      <c r="K311" s="9">
        <v>68000</v>
      </c>
      <c r="L311" s="2" t="s">
        <v>86</v>
      </c>
      <c r="M311" s="2">
        <v>40</v>
      </c>
      <c r="N311" s="2" t="str" cm="1">
        <f t="array" ref="N311">_xlfn.IFS(Tabela1[[#This Row],[qtde_]]="N/A", "N/A",Tabela1[[#This Row],[qtde_]]&lt;11,"BAIXO",Tabela1[[#This Row],[qtde_]]&lt;26,"MÉDIO",Tabela1[[#This Row],[qtde_]]&gt;=26,"ALTO")</f>
        <v>ALTO</v>
      </c>
      <c r="O311" s="12" t="str">
        <f>IF(AND(Tabela1[[#This Row],[nivel_risco]]="ALTO",Tabela1[[#This Row],[flag_inadimplente]] = "Sim"),"negada","aprovada")</f>
        <v>aprovada</v>
      </c>
      <c r="P311" s="12" t="str">
        <f>IF(AND(Tabela1[[#This Row],[credito_tomado]]&gt;50000,Tabela1[[#This Row],[flag_inadimplente]]="Sim"),"negada","aprovada")</f>
        <v>aprovada</v>
      </c>
      <c r="Q311" s="6">
        <v>49500</v>
      </c>
      <c r="R311" s="12" cm="1">
        <f t="array" ref="R31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3960</v>
      </c>
    </row>
    <row r="312" spans="1:18" ht="15.75" customHeight="1" x14ac:dyDescent="0.2">
      <c r="A312" s="2" t="s">
        <v>80</v>
      </c>
      <c r="B312" s="7" t="s">
        <v>643</v>
      </c>
      <c r="C312" s="1" t="s">
        <v>644</v>
      </c>
      <c r="D312" s="1" t="str">
        <f>TEXT(C312,"000\.000\.000\-00")</f>
        <v>000.000.130-00</v>
      </c>
      <c r="E312" s="2">
        <v>65</v>
      </c>
      <c r="F312" s="3">
        <v>22297</v>
      </c>
      <c r="G312" s="2" t="s">
        <v>118</v>
      </c>
      <c r="H312" s="7" t="s">
        <v>119</v>
      </c>
      <c r="I312" s="7" t="str">
        <f>PROPER(Tabela1[[#This Row],[regiao]])</f>
        <v>Oeste</v>
      </c>
      <c r="J312" s="8">
        <v>27300</v>
      </c>
      <c r="K312" s="9">
        <v>48500</v>
      </c>
      <c r="L312" s="2" t="s">
        <v>86</v>
      </c>
      <c r="M312" s="2">
        <v>29</v>
      </c>
      <c r="N312" s="2" t="str" cm="1">
        <f t="array" ref="N312">_xlfn.IFS(Tabela1[[#This Row],[qtde_]]="N/A", "N/A",Tabela1[[#This Row],[qtde_]]&lt;11,"BAIXO",Tabela1[[#This Row],[qtde_]]&lt;26,"MÉDIO",Tabela1[[#This Row],[qtde_]]&gt;=26,"ALTO")</f>
        <v>ALTO</v>
      </c>
      <c r="O312" s="12" t="str">
        <f>IF(AND(Tabela1[[#This Row],[nivel_risco]]="ALTO",Tabela1[[#This Row],[flag_inadimplente]] = "Sim"),"negada","aprovada")</f>
        <v>aprovada</v>
      </c>
      <c r="P312" s="12" t="str">
        <f>IF(AND(Tabela1[[#This Row],[credito_tomado]]&gt;50000,Tabela1[[#This Row],[flag_inadimplente]]="Sim"),"negada","aprovada")</f>
        <v>aprovada</v>
      </c>
      <c r="Q312" s="6">
        <v>94000</v>
      </c>
      <c r="R312" s="12" cm="1">
        <f t="array" ref="R31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7520</v>
      </c>
    </row>
    <row r="313" spans="1:18" ht="15.75" customHeight="1" x14ac:dyDescent="0.2">
      <c r="A313" s="2" t="s">
        <v>80</v>
      </c>
      <c r="B313" s="7" t="s">
        <v>645</v>
      </c>
      <c r="C313" s="1" t="s">
        <v>646</v>
      </c>
      <c r="D313" s="1" t="str">
        <f>TEXT(C313,"000\.000\.000\-00")</f>
        <v>000.000.105-00</v>
      </c>
      <c r="E313" s="2">
        <v>25</v>
      </c>
      <c r="F313" s="3">
        <v>37118</v>
      </c>
      <c r="G313" s="2" t="s">
        <v>84</v>
      </c>
      <c r="H313" s="7" t="s">
        <v>85</v>
      </c>
      <c r="I313" s="7" t="str">
        <f>PROPER(Tabela1[[#This Row],[regiao]])</f>
        <v>Campina</v>
      </c>
      <c r="J313" s="8">
        <v>27300</v>
      </c>
      <c r="K313" s="9">
        <v>1500</v>
      </c>
      <c r="L313" s="2" t="s">
        <v>101</v>
      </c>
      <c r="M313" s="2">
        <v>33</v>
      </c>
      <c r="N313" s="2" t="str" cm="1">
        <f t="array" ref="N313">_xlfn.IFS(Tabela1[[#This Row],[qtde_]]="N/A", "N/A",Tabela1[[#This Row],[qtde_]]&lt;11,"BAIXO",Tabela1[[#This Row],[qtde_]]&lt;26,"MÉDIO",Tabela1[[#This Row],[qtde_]]&gt;=26,"ALTO")</f>
        <v>ALTO</v>
      </c>
      <c r="O313" s="12" t="str">
        <f>IF(AND(Tabela1[[#This Row],[nivel_risco]]="ALTO",Tabela1[[#This Row],[flag_inadimplente]] = "Sim"),"negada","aprovada")</f>
        <v>negada</v>
      </c>
      <c r="P313" s="12" t="str">
        <f>IF(AND(Tabela1[[#This Row],[credito_tomado]]&gt;50000,Tabela1[[#This Row],[flag_inadimplente]]="Sim"),"negada","aprovada")</f>
        <v>aprovada</v>
      </c>
      <c r="Q313" s="6">
        <v>14000</v>
      </c>
      <c r="R313" s="12" t="e" cm="1">
        <f t="array" ref="R31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14" spans="1:18" ht="15.75" customHeight="1" x14ac:dyDescent="0.2">
      <c r="A314" s="2" t="s">
        <v>80</v>
      </c>
      <c r="B314" s="7" t="s">
        <v>647</v>
      </c>
      <c r="C314" s="1" t="s">
        <v>648</v>
      </c>
      <c r="D314" s="1" t="str">
        <f>TEXT(C314,"000\.000\.000\-00")</f>
        <v>000.000.297-00</v>
      </c>
      <c r="E314" s="2">
        <v>55</v>
      </c>
      <c r="F314" s="3">
        <v>25880</v>
      </c>
      <c r="G314" s="2" t="s">
        <v>104</v>
      </c>
      <c r="H314" s="7" t="s">
        <v>105</v>
      </c>
      <c r="I314" s="7" t="str">
        <f>PROPER(Tabela1[[#This Row],[regiao]])</f>
        <v>Terras Da Tempestade</v>
      </c>
      <c r="J314" s="8">
        <v>27500</v>
      </c>
      <c r="K314" s="9">
        <v>14000</v>
      </c>
      <c r="L314" s="2" t="s">
        <v>86</v>
      </c>
      <c r="M314" s="2">
        <v>3</v>
      </c>
      <c r="N314" s="2" t="str" cm="1">
        <f t="array" ref="N314">_xlfn.IFS(Tabela1[[#This Row],[qtde_]]="N/A", "N/A",Tabela1[[#This Row],[qtde_]]&lt;11,"BAIXO",Tabela1[[#This Row],[qtde_]]&lt;26,"MÉDIO",Tabela1[[#This Row],[qtde_]]&gt;=26,"ALTO")</f>
        <v>BAIXO</v>
      </c>
      <c r="O314" s="12" t="str">
        <f>IF(AND(Tabela1[[#This Row],[nivel_risco]]="ALTO",Tabela1[[#This Row],[flag_inadimplente]] = "Sim"),"negada","aprovada")</f>
        <v>aprovada</v>
      </c>
      <c r="P314" s="12" t="str">
        <f>IF(AND(Tabela1[[#This Row],[credito_tomado]]&gt;50000,Tabela1[[#This Row],[flag_inadimplente]]="Sim"),"negada","aprovada")</f>
        <v>aprovada</v>
      </c>
      <c r="Q314" s="6">
        <v>11500</v>
      </c>
      <c r="R314" s="12" cm="1">
        <f t="array" ref="R31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920</v>
      </c>
    </row>
    <row r="315" spans="1:18" ht="15.75" customHeight="1" x14ac:dyDescent="0.2">
      <c r="A315" s="2" t="s">
        <v>96</v>
      </c>
      <c r="B315" s="7" t="s">
        <v>649</v>
      </c>
      <c r="C315" s="1" t="s">
        <v>650</v>
      </c>
      <c r="D315" s="1" t="str">
        <f>TEXT(C315,"000\.000\.000\-00")</f>
        <v>000.000.380-00</v>
      </c>
      <c r="E315" s="2">
        <v>36</v>
      </c>
      <c r="F315" s="3">
        <v>32914</v>
      </c>
      <c r="G315" s="2" t="s">
        <v>108</v>
      </c>
      <c r="H315" s="7" t="s">
        <v>109</v>
      </c>
      <c r="I315" s="7" t="str">
        <f>PROPER(Tabela1[[#This Row],[regiao]])</f>
        <v>Gargalo</v>
      </c>
      <c r="J315" s="8">
        <v>27600</v>
      </c>
      <c r="K315" s="9">
        <v>37000</v>
      </c>
      <c r="L315" s="2" t="s">
        <v>86</v>
      </c>
      <c r="M315" s="2">
        <v>15</v>
      </c>
      <c r="N315" s="2" t="str" cm="1">
        <f t="array" ref="N315">_xlfn.IFS(Tabela1[[#This Row],[qtde_]]="N/A", "N/A",Tabela1[[#This Row],[qtde_]]&lt;11,"BAIXO",Tabela1[[#This Row],[qtde_]]&lt;26,"MÉDIO",Tabela1[[#This Row],[qtde_]]&gt;=26,"ALTO")</f>
        <v>MÉDIO</v>
      </c>
      <c r="O315" s="12" t="str">
        <f>IF(AND(Tabela1[[#This Row],[nivel_risco]]="ALTO",Tabela1[[#This Row],[flag_inadimplente]] = "Sim"),"negada","aprovada")</f>
        <v>aprovada</v>
      </c>
      <c r="P315" s="12" t="str">
        <f>IF(AND(Tabela1[[#This Row],[credito_tomado]]&gt;50000,Tabela1[[#This Row],[flag_inadimplente]]="Sim"),"negada","aprovada")</f>
        <v>aprovada</v>
      </c>
      <c r="Q315" s="6">
        <v>41500</v>
      </c>
      <c r="R315" s="12" t="e" cm="1">
        <f t="array" ref="R31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16" spans="1:18" ht="15.75" customHeight="1" x14ac:dyDescent="0.2">
      <c r="A316" s="2" t="s">
        <v>80</v>
      </c>
      <c r="B316" s="7" t="s">
        <v>651</v>
      </c>
      <c r="C316" s="1" t="s">
        <v>652</v>
      </c>
      <c r="D316" s="1" t="str">
        <f>TEXT(C316,"000\.000\.000\-00")</f>
        <v>000.000.011-00</v>
      </c>
      <c r="E316" s="2">
        <v>53</v>
      </c>
      <c r="F316" s="3">
        <v>26812</v>
      </c>
      <c r="G316" s="2" t="s">
        <v>138</v>
      </c>
      <c r="H316" s="7" t="s">
        <v>139</v>
      </c>
      <c r="I316" s="7" t="str">
        <f>PROPER(Tabela1[[#This Row],[regiao]])</f>
        <v>Essos</v>
      </c>
      <c r="J316" s="8">
        <v>27800</v>
      </c>
      <c r="K316" s="9">
        <v>52000</v>
      </c>
      <c r="L316" s="2" t="s">
        <v>86</v>
      </c>
      <c r="M316" s="2">
        <v>43</v>
      </c>
      <c r="N316" s="2" t="str" cm="1">
        <f t="array" ref="N316">_xlfn.IFS(Tabela1[[#This Row],[qtde_]]="N/A", "N/A",Tabela1[[#This Row],[qtde_]]&lt;11,"BAIXO",Tabela1[[#This Row],[qtde_]]&lt;26,"MÉDIO",Tabela1[[#This Row],[qtde_]]&gt;=26,"ALTO")</f>
        <v>ALTO</v>
      </c>
      <c r="O316" s="12" t="str">
        <f>IF(AND(Tabela1[[#This Row],[nivel_risco]]="ALTO",Tabela1[[#This Row],[flag_inadimplente]] = "Sim"),"negada","aprovada")</f>
        <v>aprovada</v>
      </c>
      <c r="P316" s="12" t="str">
        <f>IF(AND(Tabela1[[#This Row],[credito_tomado]]&gt;50000,Tabela1[[#This Row],[flag_inadimplente]]="Sim"),"negada","aprovada")</f>
        <v>aprovada</v>
      </c>
      <c r="Q316" s="6">
        <v>93500</v>
      </c>
      <c r="R316" s="12" cm="1">
        <f t="array" ref="R31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7480</v>
      </c>
    </row>
    <row r="317" spans="1:18" ht="15.75" customHeight="1" x14ac:dyDescent="0.2">
      <c r="A317" s="2" t="s">
        <v>80</v>
      </c>
      <c r="B317" s="7" t="s">
        <v>653</v>
      </c>
      <c r="C317" s="1" t="s">
        <v>536</v>
      </c>
      <c r="D317" s="1" t="str">
        <f>TEXT(C317,"000\.000\.000\-00")</f>
        <v>000.000.372-00</v>
      </c>
      <c r="E317" s="2">
        <v>34</v>
      </c>
      <c r="F317" s="3">
        <v>33525</v>
      </c>
      <c r="G317" s="2" t="s">
        <v>267</v>
      </c>
      <c r="I317" s="7" t="s">
        <v>113</v>
      </c>
      <c r="J317" s="8">
        <v>28000</v>
      </c>
      <c r="K317" s="9">
        <v>36500</v>
      </c>
      <c r="L317" s="2" t="s">
        <v>86</v>
      </c>
      <c r="M317" s="2">
        <v>33</v>
      </c>
      <c r="N317" s="2" t="str" cm="1">
        <f t="array" ref="N317">_xlfn.IFS(Tabela1[[#This Row],[qtde_]]="N/A", "N/A",Tabela1[[#This Row],[qtde_]]&lt;11,"BAIXO",Tabela1[[#This Row],[qtde_]]&lt;26,"MÉDIO",Tabela1[[#This Row],[qtde_]]&gt;=26,"ALTO")</f>
        <v>ALTO</v>
      </c>
      <c r="O317" s="12" t="str">
        <f>IF(AND(Tabela1[[#This Row],[nivel_risco]]="ALTO",Tabela1[[#This Row],[flag_inadimplente]] = "Sim"),"negada","aprovada")</f>
        <v>aprovada</v>
      </c>
      <c r="P317" s="12" t="str">
        <f>IF(AND(Tabela1[[#This Row],[credito_tomado]]&gt;50000,Tabela1[[#This Row],[flag_inadimplente]]="Sim"),"negada","aprovada")</f>
        <v>aprovada</v>
      </c>
      <c r="Q317" s="6">
        <v>60000</v>
      </c>
      <c r="R317" s="12" cm="1">
        <f t="array" ref="R31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4800</v>
      </c>
    </row>
    <row r="318" spans="1:18" ht="15.75" customHeight="1" x14ac:dyDescent="0.2">
      <c r="A318" s="2" t="s">
        <v>80</v>
      </c>
      <c r="B318" s="7" t="s">
        <v>654</v>
      </c>
      <c r="C318" s="1" t="s">
        <v>655</v>
      </c>
      <c r="D318" s="1" t="str">
        <f>TEXT(C318,"000\.000\.000\-00")</f>
        <v>000.000.200-00</v>
      </c>
      <c r="E318" s="2">
        <v>35</v>
      </c>
      <c r="F318" s="3" t="s">
        <v>83</v>
      </c>
      <c r="G318" s="2" t="s">
        <v>206</v>
      </c>
      <c r="H318" s="7" t="s">
        <v>85</v>
      </c>
      <c r="I318" s="7" t="str">
        <f>PROPER(Tabela1[[#This Row],[regiao]])</f>
        <v>Campina</v>
      </c>
      <c r="J318" s="8">
        <v>28000</v>
      </c>
      <c r="K318" s="9">
        <v>76500</v>
      </c>
      <c r="L318" s="2" t="s">
        <v>86</v>
      </c>
      <c r="M318" s="2">
        <v>39</v>
      </c>
      <c r="N318" s="2" t="str" cm="1">
        <f t="array" ref="N318">_xlfn.IFS(Tabela1[[#This Row],[qtde_]]="N/A", "N/A",Tabela1[[#This Row],[qtde_]]&lt;11,"BAIXO",Tabela1[[#This Row],[qtde_]]&lt;26,"MÉDIO",Tabela1[[#This Row],[qtde_]]&gt;=26,"ALTO")</f>
        <v>ALTO</v>
      </c>
      <c r="O318" s="12" t="str">
        <f>IF(AND(Tabela1[[#This Row],[nivel_risco]]="ALTO",Tabela1[[#This Row],[flag_inadimplente]] = "Sim"),"negada","aprovada")</f>
        <v>aprovada</v>
      </c>
      <c r="P318" s="12" t="str">
        <f>IF(AND(Tabela1[[#This Row],[credito_tomado]]&gt;50000,Tabela1[[#This Row],[flag_inadimplente]]="Sim"),"negada","aprovada")</f>
        <v>aprovada</v>
      </c>
      <c r="Q318" s="6">
        <v>32000</v>
      </c>
      <c r="R318" s="12" cm="1">
        <f t="array" ref="R31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2560</v>
      </c>
    </row>
    <row r="319" spans="1:18" ht="15.75" customHeight="1" x14ac:dyDescent="0.2">
      <c r="A319" s="2" t="s">
        <v>96</v>
      </c>
      <c r="B319" s="7" t="s">
        <v>656</v>
      </c>
      <c r="C319" s="1">
        <v>11600</v>
      </c>
      <c r="D319" s="1" t="str">
        <f>TEXT(C319,"000\.000\.000\-00")</f>
        <v>000.000.116-00</v>
      </c>
      <c r="E319" s="2" t="s">
        <v>83</v>
      </c>
      <c r="F319" s="3">
        <v>32890</v>
      </c>
      <c r="G319" s="2" t="s">
        <v>153</v>
      </c>
      <c r="H319" s="7" t="s">
        <v>154</v>
      </c>
      <c r="I319" s="7" t="str">
        <f>PROPER(Tabela1[[#This Row],[regiao]])</f>
        <v>Terras Fluviais</v>
      </c>
      <c r="J319" s="8">
        <v>28100</v>
      </c>
      <c r="K319" s="9">
        <v>36500</v>
      </c>
      <c r="L319" s="2" t="s">
        <v>86</v>
      </c>
      <c r="M319" s="2">
        <v>13</v>
      </c>
      <c r="N319" s="2" t="str" cm="1">
        <f t="array" ref="N319">_xlfn.IFS(Tabela1[[#This Row],[qtde_]]="N/A", "N/A",Tabela1[[#This Row],[qtde_]]&lt;11,"BAIXO",Tabela1[[#This Row],[qtde_]]&lt;26,"MÉDIO",Tabela1[[#This Row],[qtde_]]&gt;=26,"ALTO")</f>
        <v>MÉDIO</v>
      </c>
      <c r="O319" s="12" t="str">
        <f>IF(AND(Tabela1[[#This Row],[nivel_risco]]="ALTO",Tabela1[[#This Row],[flag_inadimplente]] = "Sim"),"negada","aprovada")</f>
        <v>aprovada</v>
      </c>
      <c r="P319" s="12" t="str">
        <f>IF(AND(Tabela1[[#This Row],[credito_tomado]]&gt;50000,Tabela1[[#This Row],[flag_inadimplente]]="Sim"),"negada","aprovada")</f>
        <v>aprovada</v>
      </c>
      <c r="Q319" s="6">
        <v>5000</v>
      </c>
      <c r="R319" s="12" t="e" cm="1">
        <f t="array" ref="R31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20" spans="1:18" ht="15.75" customHeight="1" x14ac:dyDescent="0.2">
      <c r="A320" s="2" t="s">
        <v>80</v>
      </c>
      <c r="B320" s="7" t="s">
        <v>657</v>
      </c>
      <c r="C320" s="1" t="s">
        <v>658</v>
      </c>
      <c r="D320" s="1" t="str">
        <f>TEXT(C320,"000\.000\.000\-00")</f>
        <v>000.000.144-00</v>
      </c>
      <c r="E320" s="2">
        <v>25</v>
      </c>
      <c r="F320" s="3">
        <v>37026</v>
      </c>
      <c r="G320" s="2" t="s">
        <v>197</v>
      </c>
      <c r="H320" s="7" t="s">
        <v>105</v>
      </c>
      <c r="I320" s="7" t="str">
        <f>PROPER(Tabela1[[#This Row],[regiao]])</f>
        <v>Terras Da Tempestade</v>
      </c>
      <c r="J320" s="8">
        <v>28200</v>
      </c>
      <c r="K320" s="9">
        <v>0</v>
      </c>
      <c r="L320" s="2" t="s">
        <v>86</v>
      </c>
      <c r="M320" s="2">
        <v>29</v>
      </c>
      <c r="N320" s="2" t="str" cm="1">
        <f t="array" ref="N320">_xlfn.IFS(Tabela1[[#This Row],[qtde_]]="N/A", "N/A",Tabela1[[#This Row],[qtde_]]&lt;11,"BAIXO",Tabela1[[#This Row],[qtde_]]&lt;26,"MÉDIO",Tabela1[[#This Row],[qtde_]]&gt;=26,"ALTO")</f>
        <v>ALTO</v>
      </c>
      <c r="O320" s="12" t="str">
        <f>IF(AND(Tabela1[[#This Row],[nivel_risco]]="ALTO",Tabela1[[#This Row],[flag_inadimplente]] = "Sim"),"negada","aprovada")</f>
        <v>aprovada</v>
      </c>
      <c r="P320" s="12" t="str">
        <f>IF(AND(Tabela1[[#This Row],[credito_tomado]]&gt;50000,Tabela1[[#This Row],[flag_inadimplente]]="Sim"),"negada","aprovada")</f>
        <v>aprovada</v>
      </c>
      <c r="Q320" s="6">
        <v>92500</v>
      </c>
      <c r="R320" s="12" cm="1">
        <f t="array" ref="R32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7400</v>
      </c>
    </row>
    <row r="321" spans="1:18" ht="15.75" customHeight="1" x14ac:dyDescent="0.2">
      <c r="A321" s="2" t="s">
        <v>80</v>
      </c>
      <c r="B321" s="7" t="s">
        <v>659</v>
      </c>
      <c r="C321" s="1" t="s">
        <v>660</v>
      </c>
      <c r="D321" s="1" t="str">
        <f>TEXT(C321,"000\.000\.000\-00")</f>
        <v>000.000.282-00</v>
      </c>
      <c r="E321" s="2">
        <v>56</v>
      </c>
      <c r="F321" s="3">
        <v>25671</v>
      </c>
      <c r="G321" s="2" t="s">
        <v>132</v>
      </c>
      <c r="H321" s="7" t="s">
        <v>141</v>
      </c>
      <c r="I321" s="7" t="str">
        <f>PROPER(Tabela1[[#This Row],[regiao]])</f>
        <v>Terras Fluviais</v>
      </c>
      <c r="J321" s="8">
        <v>28300</v>
      </c>
      <c r="K321" s="9">
        <v>56000</v>
      </c>
      <c r="L321" s="2" t="s">
        <v>86</v>
      </c>
      <c r="M321" s="2">
        <v>6</v>
      </c>
      <c r="N321" s="2" t="str" cm="1">
        <f t="array" ref="N321">_xlfn.IFS(Tabela1[[#This Row],[qtde_]]="N/A", "N/A",Tabela1[[#This Row],[qtde_]]&lt;11,"BAIXO",Tabela1[[#This Row],[qtde_]]&lt;26,"MÉDIO",Tabela1[[#This Row],[qtde_]]&gt;=26,"ALTO")</f>
        <v>BAIXO</v>
      </c>
      <c r="O321" s="12" t="str">
        <f>IF(AND(Tabela1[[#This Row],[nivel_risco]]="ALTO",Tabela1[[#This Row],[flag_inadimplente]] = "Sim"),"negada","aprovada")</f>
        <v>aprovada</v>
      </c>
      <c r="P321" s="12" t="str">
        <f>IF(AND(Tabela1[[#This Row],[credito_tomado]]&gt;50000,Tabela1[[#This Row],[flag_inadimplente]]="Sim"),"negada","aprovada")</f>
        <v>aprovada</v>
      </c>
      <c r="Q321" s="6">
        <v>77000</v>
      </c>
      <c r="R321" s="12" cm="1">
        <f t="array" ref="R32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6160</v>
      </c>
    </row>
    <row r="322" spans="1:18" ht="15.75" customHeight="1" x14ac:dyDescent="0.2">
      <c r="A322" s="2" t="s">
        <v>80</v>
      </c>
      <c r="B322" s="7" t="s">
        <v>659</v>
      </c>
      <c r="C322" s="1" t="s">
        <v>660</v>
      </c>
      <c r="D322" s="1" t="str">
        <f>TEXT(C322,"000\.000\.000\-00")</f>
        <v>000.000.282-00</v>
      </c>
      <c r="E322" s="2">
        <v>56</v>
      </c>
      <c r="F322" s="3">
        <v>25671</v>
      </c>
      <c r="G322" s="2" t="s">
        <v>132</v>
      </c>
      <c r="H322" s="7" t="s">
        <v>141</v>
      </c>
      <c r="I322" s="7" t="str">
        <f>PROPER(Tabela1[[#This Row],[regiao]])</f>
        <v>Terras Fluviais</v>
      </c>
      <c r="J322" s="8">
        <v>28300</v>
      </c>
      <c r="K322" s="9">
        <v>56000</v>
      </c>
      <c r="L322" s="2" t="s">
        <v>86</v>
      </c>
      <c r="M322" s="2">
        <v>6</v>
      </c>
      <c r="N322" s="2" t="str" cm="1">
        <f t="array" ref="N322">_xlfn.IFS(Tabela1[[#This Row],[qtde_]]="N/A", "N/A",Tabela1[[#This Row],[qtde_]]&lt;11,"BAIXO",Tabela1[[#This Row],[qtde_]]&lt;26,"MÉDIO",Tabela1[[#This Row],[qtde_]]&gt;=26,"ALTO")</f>
        <v>BAIXO</v>
      </c>
      <c r="O322" s="12" t="str">
        <f>IF(AND(Tabela1[[#This Row],[nivel_risco]]="ALTO",Tabela1[[#This Row],[flag_inadimplente]] = "Sim"),"negada","aprovada")</f>
        <v>aprovada</v>
      </c>
      <c r="P322" s="12" t="str">
        <f>IF(AND(Tabela1[[#This Row],[credito_tomado]]&gt;50000,Tabela1[[#This Row],[flag_inadimplente]]="Sim"),"negada","aprovada")</f>
        <v>aprovada</v>
      </c>
      <c r="Q322" s="6">
        <v>84500</v>
      </c>
      <c r="R322" s="12" cm="1">
        <f t="array" ref="R32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6760</v>
      </c>
    </row>
    <row r="323" spans="1:18" ht="15.75" customHeight="1" x14ac:dyDescent="0.2">
      <c r="A323" s="2" t="s">
        <v>80</v>
      </c>
      <c r="B323" s="7" t="s">
        <v>661</v>
      </c>
      <c r="C323" s="1">
        <v>24000</v>
      </c>
      <c r="D323" s="1" t="str">
        <f>TEXT(C323,"000\.000\.000\-00")</f>
        <v>000.000.240-00</v>
      </c>
      <c r="E323" s="2">
        <v>47</v>
      </c>
      <c r="F323" s="3">
        <v>29031</v>
      </c>
      <c r="G323" s="2" t="s">
        <v>138</v>
      </c>
      <c r="H323" s="7" t="s">
        <v>139</v>
      </c>
      <c r="I323" s="7" t="str">
        <f>PROPER(Tabela1[[#This Row],[regiao]])</f>
        <v>Essos</v>
      </c>
      <c r="J323" s="8">
        <v>28400</v>
      </c>
      <c r="K323" s="9">
        <v>78000</v>
      </c>
      <c r="L323" s="2" t="s">
        <v>86</v>
      </c>
      <c r="M323" s="2">
        <v>37</v>
      </c>
      <c r="N323" s="2" t="str" cm="1">
        <f t="array" ref="N323">_xlfn.IFS(Tabela1[[#This Row],[qtde_]]="N/A", "N/A",Tabela1[[#This Row],[qtde_]]&lt;11,"BAIXO",Tabela1[[#This Row],[qtde_]]&lt;26,"MÉDIO",Tabela1[[#This Row],[qtde_]]&gt;=26,"ALTO")</f>
        <v>ALTO</v>
      </c>
      <c r="O323" s="12" t="str">
        <f>IF(AND(Tabela1[[#This Row],[nivel_risco]]="ALTO",Tabela1[[#This Row],[flag_inadimplente]] = "Sim"),"negada","aprovada")</f>
        <v>aprovada</v>
      </c>
      <c r="P323" s="12" t="str">
        <f>IF(AND(Tabela1[[#This Row],[credito_tomado]]&gt;50000,Tabela1[[#This Row],[flag_inadimplente]]="Sim"),"negada","aprovada")</f>
        <v>aprovada</v>
      </c>
      <c r="Q323" s="6">
        <v>99000</v>
      </c>
      <c r="R323" s="12" cm="1">
        <f t="array" ref="R32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7920</v>
      </c>
    </row>
    <row r="324" spans="1:18" ht="15.75" customHeight="1" x14ac:dyDescent="0.2">
      <c r="A324" s="2" t="s">
        <v>80</v>
      </c>
      <c r="B324" s="7" t="s">
        <v>662</v>
      </c>
      <c r="C324" s="1" t="s">
        <v>663</v>
      </c>
      <c r="D324" s="1" t="str">
        <f>TEXT(C324,"000\.000\.000\-00")</f>
        <v>000.000.204-00</v>
      </c>
      <c r="E324" s="2">
        <v>49</v>
      </c>
      <c r="F324" s="3">
        <v>28147</v>
      </c>
      <c r="G324" s="2" t="s">
        <v>89</v>
      </c>
      <c r="H324" s="7" t="s">
        <v>220</v>
      </c>
      <c r="I324" s="7" t="str">
        <f>PROPER(Tabela1[[#This Row],[regiao]])</f>
        <v>Terras Da Coroa</v>
      </c>
      <c r="J324" s="8">
        <v>28400</v>
      </c>
      <c r="K324" s="9">
        <v>38500</v>
      </c>
      <c r="L324" s="2" t="s">
        <v>86</v>
      </c>
      <c r="M324" s="2">
        <v>26</v>
      </c>
      <c r="N324" s="2" t="str" cm="1">
        <f t="array" ref="N324">_xlfn.IFS(Tabela1[[#This Row],[qtde_]]="N/A", "N/A",Tabela1[[#This Row],[qtde_]]&lt;11,"BAIXO",Tabela1[[#This Row],[qtde_]]&lt;26,"MÉDIO",Tabela1[[#This Row],[qtde_]]&gt;=26,"ALTO")</f>
        <v>ALTO</v>
      </c>
      <c r="O324" s="12" t="str">
        <f>IF(AND(Tabela1[[#This Row],[nivel_risco]]="ALTO",Tabela1[[#This Row],[flag_inadimplente]] = "Sim"),"negada","aprovada")</f>
        <v>aprovada</v>
      </c>
      <c r="P324" s="12" t="str">
        <f>IF(AND(Tabela1[[#This Row],[credito_tomado]]&gt;50000,Tabela1[[#This Row],[flag_inadimplente]]="Sim"),"negada","aprovada")</f>
        <v>aprovada</v>
      </c>
      <c r="Q324" s="6">
        <v>51000</v>
      </c>
      <c r="R324" s="12" cm="1">
        <f t="array" ref="R32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4080</v>
      </c>
    </row>
    <row r="325" spans="1:18" ht="15.75" customHeight="1" x14ac:dyDescent="0.2">
      <c r="A325" s="2" t="s">
        <v>80</v>
      </c>
      <c r="B325" s="7" t="s">
        <v>664</v>
      </c>
      <c r="C325" s="1" t="s">
        <v>665</v>
      </c>
      <c r="D325" s="1" t="str">
        <f>TEXT(C325,"000\.000\.000\-00")</f>
        <v>000.000.335-00</v>
      </c>
      <c r="E325" s="2">
        <v>35</v>
      </c>
      <c r="F325" s="3">
        <v>33309</v>
      </c>
      <c r="G325" s="2" t="s">
        <v>153</v>
      </c>
      <c r="H325" s="7" t="s">
        <v>141</v>
      </c>
      <c r="I325" s="7" t="str">
        <f>PROPER(Tabela1[[#This Row],[regiao]])</f>
        <v>Terras Fluviais</v>
      </c>
      <c r="J325" s="8">
        <v>28500</v>
      </c>
      <c r="K325" s="9">
        <v>48500</v>
      </c>
      <c r="L325" s="2" t="s">
        <v>86</v>
      </c>
      <c r="M325" s="2">
        <v>24</v>
      </c>
      <c r="N325" s="2" t="str" cm="1">
        <f t="array" ref="N325">_xlfn.IFS(Tabela1[[#This Row],[qtde_]]="N/A", "N/A",Tabela1[[#This Row],[qtde_]]&lt;11,"BAIXO",Tabela1[[#This Row],[qtde_]]&lt;26,"MÉDIO",Tabela1[[#This Row],[qtde_]]&gt;=26,"ALTO")</f>
        <v>MÉDIO</v>
      </c>
      <c r="O325" s="12" t="str">
        <f>IF(AND(Tabela1[[#This Row],[nivel_risco]]="ALTO",Tabela1[[#This Row],[flag_inadimplente]] = "Sim"),"negada","aprovada")</f>
        <v>aprovada</v>
      </c>
      <c r="P325" s="12" t="str">
        <f>IF(AND(Tabela1[[#This Row],[credito_tomado]]&gt;50000,Tabela1[[#This Row],[flag_inadimplente]]="Sim"),"negada","aprovada")</f>
        <v>aprovada</v>
      </c>
      <c r="Q325" s="6">
        <v>80500</v>
      </c>
      <c r="R325" s="12" cm="1">
        <f t="array" ref="R32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6440</v>
      </c>
    </row>
    <row r="326" spans="1:18" ht="15.75" customHeight="1" x14ac:dyDescent="0.2">
      <c r="A326" s="2" t="s">
        <v>80</v>
      </c>
      <c r="B326" s="7" t="s">
        <v>666</v>
      </c>
      <c r="C326" s="1">
        <v>15000</v>
      </c>
      <c r="D326" s="1" t="str">
        <f>TEXT(C326,"000\.000\.000\-00")</f>
        <v>000.000.150-00</v>
      </c>
      <c r="E326" s="2">
        <v>73</v>
      </c>
      <c r="F326" s="3">
        <v>19588</v>
      </c>
      <c r="G326" s="2" t="s">
        <v>99</v>
      </c>
      <c r="H326" s="7" t="s">
        <v>113</v>
      </c>
      <c r="I326" s="7" t="str">
        <f>PROPER(Tabela1[[#This Row],[regiao]])</f>
        <v>Norte</v>
      </c>
      <c r="J326" s="8">
        <v>28600</v>
      </c>
      <c r="K326" s="9">
        <v>40500</v>
      </c>
      <c r="L326" s="2" t="s">
        <v>86</v>
      </c>
      <c r="M326" s="2">
        <v>20</v>
      </c>
      <c r="N326" s="2" t="str" cm="1">
        <f t="array" ref="N326">_xlfn.IFS(Tabela1[[#This Row],[qtde_]]="N/A", "N/A",Tabela1[[#This Row],[qtde_]]&lt;11,"BAIXO",Tabela1[[#This Row],[qtde_]]&lt;26,"MÉDIO",Tabela1[[#This Row],[qtde_]]&gt;=26,"ALTO")</f>
        <v>MÉDIO</v>
      </c>
      <c r="O326" s="12" t="str">
        <f>IF(AND(Tabela1[[#This Row],[nivel_risco]]="ALTO",Tabela1[[#This Row],[flag_inadimplente]] = "Sim"),"negada","aprovada")</f>
        <v>aprovada</v>
      </c>
      <c r="P326" s="12" t="str">
        <f>IF(AND(Tabela1[[#This Row],[credito_tomado]]&gt;50000,Tabela1[[#This Row],[flag_inadimplente]]="Sim"),"negada","aprovada")</f>
        <v>aprovada</v>
      </c>
      <c r="Q326" s="6">
        <v>2500</v>
      </c>
      <c r="R326" s="12" cm="1">
        <f t="array" ref="R32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200</v>
      </c>
    </row>
    <row r="327" spans="1:18" ht="15.75" customHeight="1" x14ac:dyDescent="0.2">
      <c r="A327" s="2" t="s">
        <v>80</v>
      </c>
      <c r="B327" s="7" t="s">
        <v>667</v>
      </c>
      <c r="C327" s="1">
        <v>3800</v>
      </c>
      <c r="D327" s="1" t="str">
        <f>TEXT(C327,"000\.000\.000\-00")</f>
        <v>000.000.038-00</v>
      </c>
      <c r="E327" s="2">
        <v>41</v>
      </c>
      <c r="F327" s="3">
        <v>30992</v>
      </c>
      <c r="G327" s="2" t="s">
        <v>118</v>
      </c>
      <c r="H327" s="7" t="s">
        <v>668</v>
      </c>
      <c r="I327" s="7" t="str">
        <f>PROPER(Tabela1[[#This Row],[regiao]])</f>
        <v>Oeste</v>
      </c>
      <c r="J327" s="8">
        <v>28600</v>
      </c>
      <c r="K327" s="9">
        <v>67500</v>
      </c>
      <c r="L327" s="2" t="s">
        <v>86</v>
      </c>
      <c r="M327" s="2">
        <v>39</v>
      </c>
      <c r="N327" s="2" t="str" cm="1">
        <f t="array" ref="N327">_xlfn.IFS(Tabela1[[#This Row],[qtde_]]="N/A", "N/A",Tabela1[[#This Row],[qtde_]]&lt;11,"BAIXO",Tabela1[[#This Row],[qtde_]]&lt;26,"MÉDIO",Tabela1[[#This Row],[qtde_]]&gt;=26,"ALTO")</f>
        <v>ALTO</v>
      </c>
      <c r="O327" s="12" t="str">
        <f>IF(AND(Tabela1[[#This Row],[nivel_risco]]="ALTO",Tabela1[[#This Row],[flag_inadimplente]] = "Sim"),"negada","aprovada")</f>
        <v>aprovada</v>
      </c>
      <c r="P327" s="12" t="str">
        <f>IF(AND(Tabela1[[#This Row],[credito_tomado]]&gt;50000,Tabela1[[#This Row],[flag_inadimplente]]="Sim"),"negada","aprovada")</f>
        <v>aprovada</v>
      </c>
      <c r="Q327" s="6">
        <v>22000</v>
      </c>
      <c r="R327" s="12" cm="1">
        <f t="array" ref="R32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1760</v>
      </c>
    </row>
    <row r="328" spans="1:18" ht="15.75" customHeight="1" x14ac:dyDescent="0.2">
      <c r="A328" s="2" t="s">
        <v>80</v>
      </c>
      <c r="B328" s="7" t="s">
        <v>669</v>
      </c>
      <c r="C328" s="1" t="s">
        <v>670</v>
      </c>
      <c r="D328" s="1" t="str">
        <f>TEXT(C328,"000\.000\.000\-00")</f>
        <v>000.000.128-00</v>
      </c>
      <c r="E328" s="2" t="s">
        <v>83</v>
      </c>
      <c r="F328" s="3">
        <v>32796</v>
      </c>
      <c r="G328" s="2" t="s">
        <v>215</v>
      </c>
      <c r="H328" s="7" t="s">
        <v>90</v>
      </c>
      <c r="I328" s="7" t="str">
        <f>PROPER(Tabela1[[#This Row],[regiao]])</f>
        <v>Terras Da Coroa</v>
      </c>
      <c r="J328" s="8">
        <v>28600</v>
      </c>
      <c r="K328" s="9" t="s">
        <v>83</v>
      </c>
      <c r="L328" s="2" t="s">
        <v>86</v>
      </c>
      <c r="M328" s="2">
        <v>19</v>
      </c>
      <c r="N328" s="2" t="str" cm="1">
        <f t="array" ref="N328">_xlfn.IFS(Tabela1[[#This Row],[qtde_]]="N/A", "N/A",Tabela1[[#This Row],[qtde_]]&lt;11,"BAIXO",Tabela1[[#This Row],[qtde_]]&lt;26,"MÉDIO",Tabela1[[#This Row],[qtde_]]&gt;=26,"ALTO")</f>
        <v>MÉDIO</v>
      </c>
      <c r="O328" s="12" t="str">
        <f>IF(AND(Tabela1[[#This Row],[nivel_risco]]="ALTO",Tabela1[[#This Row],[flag_inadimplente]] = "Sim"),"negada","aprovada")</f>
        <v>aprovada</v>
      </c>
      <c r="P328" s="12" t="str">
        <f>IF(AND(Tabela1[[#This Row],[credito_tomado]]&gt;50000,Tabela1[[#This Row],[flag_inadimplente]]="Sim"),"negada","aprovada")</f>
        <v>aprovada</v>
      </c>
      <c r="Q328" s="6">
        <v>90000</v>
      </c>
      <c r="R328" s="12" t="str" cm="1">
        <f t="array" ref="R32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29" spans="1:18" ht="15.75" customHeight="1" x14ac:dyDescent="0.2">
      <c r="A329" s="2" t="s">
        <v>96</v>
      </c>
      <c r="B329" s="7" t="s">
        <v>477</v>
      </c>
      <c r="C329" s="1">
        <v>32700</v>
      </c>
      <c r="D329" s="1" t="str">
        <f>TEXT(C329,"000\.000\.000\-00")</f>
        <v>000.000.327-00</v>
      </c>
      <c r="E329" s="2">
        <v>57</v>
      </c>
      <c r="F329" s="3">
        <v>25369</v>
      </c>
      <c r="G329" s="2" t="s">
        <v>124</v>
      </c>
      <c r="H329" s="7" t="s">
        <v>125</v>
      </c>
      <c r="I329" s="7" t="str">
        <f>PROPER(Tabela1[[#This Row],[regiao]])</f>
        <v>Essos</v>
      </c>
      <c r="J329" s="8">
        <v>28600</v>
      </c>
      <c r="K329" s="9">
        <v>73500</v>
      </c>
      <c r="L329" s="2" t="s">
        <v>86</v>
      </c>
      <c r="M329" s="2">
        <v>29</v>
      </c>
      <c r="N329" s="2" t="str" cm="1">
        <f t="array" ref="N329">_xlfn.IFS(Tabela1[[#This Row],[qtde_]]="N/A", "N/A",Tabela1[[#This Row],[qtde_]]&lt;11,"BAIXO",Tabela1[[#This Row],[qtde_]]&lt;26,"MÉDIO",Tabela1[[#This Row],[qtde_]]&gt;=26,"ALTO")</f>
        <v>ALTO</v>
      </c>
      <c r="O329" s="12" t="str">
        <f>IF(AND(Tabela1[[#This Row],[nivel_risco]]="ALTO",Tabela1[[#This Row],[flag_inadimplente]] = "Sim"),"negada","aprovada")</f>
        <v>aprovada</v>
      </c>
      <c r="P329" s="12" t="str">
        <f>IF(AND(Tabela1[[#This Row],[credito_tomado]]&gt;50000,Tabela1[[#This Row],[flag_inadimplente]]="Sim"),"negada","aprovada")</f>
        <v>aprovada</v>
      </c>
      <c r="Q329" s="6">
        <v>93500</v>
      </c>
      <c r="R329" s="12" t="e" cm="1">
        <f t="array" ref="R32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30" spans="1:18" ht="15.75" customHeight="1" x14ac:dyDescent="0.2">
      <c r="A330" s="2" t="s">
        <v>80</v>
      </c>
      <c r="B330" s="7" t="s">
        <v>671</v>
      </c>
      <c r="C330" s="1" t="s">
        <v>672</v>
      </c>
      <c r="D330" s="1" t="str">
        <f>TEXT(C330,"000\.000\.000\-00")</f>
        <v>000.000.039-00</v>
      </c>
      <c r="E330" s="2">
        <v>33</v>
      </c>
      <c r="F330" s="3">
        <v>34147</v>
      </c>
      <c r="G330" s="2" t="s">
        <v>138</v>
      </c>
      <c r="H330" s="7" t="s">
        <v>139</v>
      </c>
      <c r="I330" s="7" t="str">
        <f>PROPER(Tabela1[[#This Row],[regiao]])</f>
        <v>Essos</v>
      </c>
      <c r="J330" s="8">
        <v>28700</v>
      </c>
      <c r="K330" s="9">
        <v>12500</v>
      </c>
      <c r="L330" s="2" t="s">
        <v>86</v>
      </c>
      <c r="M330" s="2">
        <v>41</v>
      </c>
      <c r="N330" s="2" t="str" cm="1">
        <f t="array" ref="N330">_xlfn.IFS(Tabela1[[#This Row],[qtde_]]="N/A", "N/A",Tabela1[[#This Row],[qtde_]]&lt;11,"BAIXO",Tabela1[[#This Row],[qtde_]]&lt;26,"MÉDIO",Tabela1[[#This Row],[qtde_]]&gt;=26,"ALTO")</f>
        <v>ALTO</v>
      </c>
      <c r="O330" s="12" t="str">
        <f>IF(AND(Tabela1[[#This Row],[nivel_risco]]="ALTO",Tabela1[[#This Row],[flag_inadimplente]] = "Sim"),"negada","aprovada")</f>
        <v>aprovada</v>
      </c>
      <c r="P330" s="12" t="str">
        <f>IF(AND(Tabela1[[#This Row],[credito_tomado]]&gt;50000,Tabela1[[#This Row],[flag_inadimplente]]="Sim"),"negada","aprovada")</f>
        <v>aprovada</v>
      </c>
      <c r="Q330" s="6">
        <v>99500</v>
      </c>
      <c r="R330" s="12" cm="1">
        <f t="array" ref="R33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7960</v>
      </c>
    </row>
    <row r="331" spans="1:18" ht="15.75" customHeight="1" x14ac:dyDescent="0.2">
      <c r="A331" s="2" t="s">
        <v>80</v>
      </c>
      <c r="B331" s="7" t="s">
        <v>673</v>
      </c>
      <c r="C331" s="1" t="s">
        <v>245</v>
      </c>
      <c r="D331" s="1" t="str">
        <f>TEXT(C331,"000\.000\.000\-00")</f>
        <v>000.000.289-00</v>
      </c>
      <c r="E331" s="2">
        <v>27</v>
      </c>
      <c r="F331" s="3">
        <v>36319</v>
      </c>
      <c r="G331" s="2" t="s">
        <v>104</v>
      </c>
      <c r="H331" s="7" t="s">
        <v>230</v>
      </c>
      <c r="I331" s="7" t="str">
        <f>PROPER(Tabela1[[#This Row],[regiao]])</f>
        <v>Terras Da Tempestade</v>
      </c>
      <c r="J331" s="8">
        <v>28800</v>
      </c>
      <c r="K331" s="9">
        <v>78500</v>
      </c>
      <c r="L331" s="2" t="s">
        <v>86</v>
      </c>
      <c r="M331" s="2">
        <v>2</v>
      </c>
      <c r="N331" s="2" t="str" cm="1">
        <f t="array" ref="N331">_xlfn.IFS(Tabela1[[#This Row],[qtde_]]="N/A", "N/A",Tabela1[[#This Row],[qtde_]]&lt;11,"BAIXO",Tabela1[[#This Row],[qtde_]]&lt;26,"MÉDIO",Tabela1[[#This Row],[qtde_]]&gt;=26,"ALTO")</f>
        <v>BAIXO</v>
      </c>
      <c r="O331" s="12" t="str">
        <f>IF(AND(Tabela1[[#This Row],[nivel_risco]]="ALTO",Tabela1[[#This Row],[flag_inadimplente]] = "Sim"),"negada","aprovada")</f>
        <v>aprovada</v>
      </c>
      <c r="P331" s="12" t="str">
        <f>IF(AND(Tabela1[[#This Row],[credito_tomado]]&gt;50000,Tabela1[[#This Row],[flag_inadimplente]]="Sim"),"negada","aprovada")</f>
        <v>aprovada</v>
      </c>
      <c r="Q331" s="6">
        <v>53000</v>
      </c>
      <c r="R331" s="12" cm="1">
        <f t="array" ref="R33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4240</v>
      </c>
    </row>
    <row r="332" spans="1:18" ht="15.75" customHeight="1" x14ac:dyDescent="0.2">
      <c r="A332" s="2" t="s">
        <v>80</v>
      </c>
      <c r="B332" s="7" t="s">
        <v>674</v>
      </c>
      <c r="C332" s="1" t="s">
        <v>675</v>
      </c>
      <c r="D332" s="1" t="str">
        <f>TEXT(C332,"000\.000\.000\-00")</f>
        <v>000.000.293-00</v>
      </c>
      <c r="E332" s="2">
        <v>25</v>
      </c>
      <c r="F332" s="3">
        <v>37091</v>
      </c>
      <c r="G332" s="2" t="s">
        <v>144</v>
      </c>
      <c r="H332" s="7" t="s">
        <v>145</v>
      </c>
      <c r="I332" s="7" t="str">
        <f>PROPER(Tabela1[[#This Row],[regiao]])</f>
        <v>Vale</v>
      </c>
      <c r="J332" s="8">
        <v>28800</v>
      </c>
      <c r="K332" s="9" t="s">
        <v>83</v>
      </c>
      <c r="L332" s="2" t="s">
        <v>86</v>
      </c>
      <c r="M332" s="2">
        <v>12</v>
      </c>
      <c r="N332" s="2" t="str" cm="1">
        <f t="array" ref="N332">_xlfn.IFS(Tabela1[[#This Row],[qtde_]]="N/A", "N/A",Tabela1[[#This Row],[qtde_]]&lt;11,"BAIXO",Tabela1[[#This Row],[qtde_]]&lt;26,"MÉDIO",Tabela1[[#This Row],[qtde_]]&gt;=26,"ALTO")</f>
        <v>MÉDIO</v>
      </c>
      <c r="O332" s="12" t="str">
        <f>IF(AND(Tabela1[[#This Row],[nivel_risco]]="ALTO",Tabela1[[#This Row],[flag_inadimplente]] = "Sim"),"negada","aprovada")</f>
        <v>aprovada</v>
      </c>
      <c r="P332" s="12" t="str">
        <f>IF(AND(Tabela1[[#This Row],[credito_tomado]]&gt;50000,Tabela1[[#This Row],[flag_inadimplente]]="Sim"),"negada","aprovada")</f>
        <v>aprovada</v>
      </c>
      <c r="Q332" s="6">
        <v>46500</v>
      </c>
      <c r="R332" s="12" t="str" cm="1">
        <f t="array" ref="R33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33" spans="1:18" ht="15.75" customHeight="1" x14ac:dyDescent="0.2">
      <c r="A333" s="2" t="s">
        <v>80</v>
      </c>
      <c r="B333" s="7" t="s">
        <v>676</v>
      </c>
      <c r="C333" s="1">
        <v>20700</v>
      </c>
      <c r="D333" s="1" t="str">
        <f>TEXT(C333,"000\.000\.000\-00")</f>
        <v>000.000.207-00</v>
      </c>
      <c r="E333" s="2">
        <v>66</v>
      </c>
      <c r="F333" s="3">
        <v>22151</v>
      </c>
      <c r="G333" s="2" t="s">
        <v>344</v>
      </c>
      <c r="H333" s="10" t="s">
        <v>113</v>
      </c>
      <c r="I333" s="10" t="str">
        <f>PROPER(Tabela1[[#This Row],[regiao]])</f>
        <v>Norte</v>
      </c>
      <c r="J333" s="8">
        <v>28800</v>
      </c>
      <c r="K333" s="9">
        <v>16000</v>
      </c>
      <c r="L333" s="2" t="s">
        <v>101</v>
      </c>
      <c r="M333" s="2">
        <v>44</v>
      </c>
      <c r="N333" s="2" t="str" cm="1">
        <f t="array" ref="N333">_xlfn.IFS(Tabela1[[#This Row],[qtde_]]="N/A", "N/A",Tabela1[[#This Row],[qtde_]]&lt;11,"BAIXO",Tabela1[[#This Row],[qtde_]]&lt;26,"MÉDIO",Tabela1[[#This Row],[qtde_]]&gt;=26,"ALTO")</f>
        <v>ALTO</v>
      </c>
      <c r="O333" s="12" t="str">
        <f>IF(AND(Tabela1[[#This Row],[nivel_risco]]="ALTO",Tabela1[[#This Row],[flag_inadimplente]] = "Sim"),"negada","aprovada")</f>
        <v>negada</v>
      </c>
      <c r="P333" s="12" t="str">
        <f>IF(AND(Tabela1[[#This Row],[credito_tomado]]&gt;50000,Tabela1[[#This Row],[flag_inadimplente]]="Sim"),"negada","aprovada")</f>
        <v>aprovada</v>
      </c>
      <c r="Q333" s="6">
        <v>59000</v>
      </c>
      <c r="R333" s="12" t="e" cm="1">
        <f t="array" ref="R33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34" spans="1:18" ht="15.75" customHeight="1" x14ac:dyDescent="0.2">
      <c r="A334" s="2" t="s">
        <v>80</v>
      </c>
      <c r="B334" s="7" t="s">
        <v>677</v>
      </c>
      <c r="C334" s="1">
        <v>35000</v>
      </c>
      <c r="D334" s="1" t="str">
        <f>TEXT(C334,"000\.000\.000\-00")</f>
        <v>000.000.350-00</v>
      </c>
      <c r="E334" s="2">
        <v>18</v>
      </c>
      <c r="F334" s="3">
        <v>39342</v>
      </c>
      <c r="G334" s="2" t="s">
        <v>206</v>
      </c>
      <c r="H334" s="7" t="s">
        <v>85</v>
      </c>
      <c r="I334" s="7" t="str">
        <f>PROPER(Tabela1[[#This Row],[regiao]])</f>
        <v>Campina</v>
      </c>
      <c r="J334" s="8">
        <v>28900</v>
      </c>
      <c r="K334" s="9">
        <v>22000</v>
      </c>
      <c r="L334" s="2" t="s">
        <v>86</v>
      </c>
      <c r="M334" s="2">
        <v>23</v>
      </c>
      <c r="N334" s="2" t="str" cm="1">
        <f t="array" ref="N334">_xlfn.IFS(Tabela1[[#This Row],[qtde_]]="N/A", "N/A",Tabela1[[#This Row],[qtde_]]&lt;11,"BAIXO",Tabela1[[#This Row],[qtde_]]&lt;26,"MÉDIO",Tabela1[[#This Row],[qtde_]]&gt;=26,"ALTO")</f>
        <v>MÉDIO</v>
      </c>
      <c r="O334" s="12" t="str">
        <f>IF(AND(Tabela1[[#This Row],[nivel_risco]]="ALTO",Tabela1[[#This Row],[flag_inadimplente]] = "Sim"),"negada","aprovada")</f>
        <v>aprovada</v>
      </c>
      <c r="P334" s="12" t="str">
        <f>IF(AND(Tabela1[[#This Row],[credito_tomado]]&gt;50000,Tabela1[[#This Row],[flag_inadimplente]]="Sim"),"negada","aprovada")</f>
        <v>aprovada</v>
      </c>
      <c r="Q334" s="6">
        <v>90000</v>
      </c>
      <c r="R334" s="12" cm="1">
        <f t="array" ref="R33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7200</v>
      </c>
    </row>
    <row r="335" spans="1:18" ht="15.75" customHeight="1" x14ac:dyDescent="0.2">
      <c r="A335" s="2" t="s">
        <v>80</v>
      </c>
      <c r="B335" s="7" t="s">
        <v>678</v>
      </c>
      <c r="C335" s="1" t="s">
        <v>679</v>
      </c>
      <c r="D335" s="1" t="str">
        <f>TEXT(C335,"000\.000\.000\-00")</f>
        <v>000.000.378-00</v>
      </c>
      <c r="E335" s="2">
        <v>34</v>
      </c>
      <c r="F335" s="3">
        <v>33746</v>
      </c>
      <c r="G335" s="2" t="s">
        <v>115</v>
      </c>
      <c r="H335" s="7" t="s">
        <v>115</v>
      </c>
      <c r="I335" s="7" t="str">
        <f>PROPER(Tabela1[[#This Row],[regiao]])</f>
        <v>Dorne</v>
      </c>
      <c r="J335" s="8">
        <v>28900</v>
      </c>
      <c r="K335" s="9">
        <v>37000</v>
      </c>
      <c r="L335" s="2" t="s">
        <v>86</v>
      </c>
      <c r="M335" s="2">
        <v>21</v>
      </c>
      <c r="N335" s="2" t="str" cm="1">
        <f t="array" ref="N335">_xlfn.IFS(Tabela1[[#This Row],[qtde_]]="N/A", "N/A",Tabela1[[#This Row],[qtde_]]&lt;11,"BAIXO",Tabela1[[#This Row],[qtde_]]&lt;26,"MÉDIO",Tabela1[[#This Row],[qtde_]]&gt;=26,"ALTO")</f>
        <v>MÉDIO</v>
      </c>
      <c r="O335" s="12" t="str">
        <f>IF(AND(Tabela1[[#This Row],[nivel_risco]]="ALTO",Tabela1[[#This Row],[flag_inadimplente]] = "Sim"),"negada","aprovada")</f>
        <v>aprovada</v>
      </c>
      <c r="P335" s="12" t="str">
        <f>IF(AND(Tabela1[[#This Row],[credito_tomado]]&gt;50000,Tabela1[[#This Row],[flag_inadimplente]]="Sim"),"negada","aprovada")</f>
        <v>aprovada</v>
      </c>
      <c r="Q335" s="6">
        <v>97500</v>
      </c>
      <c r="R335" s="12" cm="1">
        <f t="array" ref="R33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7800</v>
      </c>
    </row>
    <row r="336" spans="1:18" ht="15.75" customHeight="1" x14ac:dyDescent="0.2">
      <c r="A336" s="2" t="s">
        <v>80</v>
      </c>
      <c r="B336" s="7" t="s">
        <v>680</v>
      </c>
      <c r="C336" s="1" t="s">
        <v>681</v>
      </c>
      <c r="D336" s="1" t="str">
        <f>TEXT(C336,"000\.000\.000\-00")</f>
        <v>000.000.172-00</v>
      </c>
      <c r="E336" s="2">
        <v>37</v>
      </c>
      <c r="F336" s="3">
        <v>32680</v>
      </c>
      <c r="G336" s="2" t="s">
        <v>124</v>
      </c>
      <c r="H336" s="7" t="s">
        <v>139</v>
      </c>
      <c r="I336" s="7" t="str">
        <f>PROPER(Tabela1[[#This Row],[regiao]])</f>
        <v>Essos</v>
      </c>
      <c r="J336" s="8">
        <v>28900</v>
      </c>
      <c r="K336" s="9">
        <v>71000</v>
      </c>
      <c r="L336" s="2" t="s">
        <v>86</v>
      </c>
      <c r="M336" s="2">
        <v>28</v>
      </c>
      <c r="N336" s="2" t="str" cm="1">
        <f t="array" ref="N336">_xlfn.IFS(Tabela1[[#This Row],[qtde_]]="N/A", "N/A",Tabela1[[#This Row],[qtde_]]&lt;11,"BAIXO",Tabela1[[#This Row],[qtde_]]&lt;26,"MÉDIO",Tabela1[[#This Row],[qtde_]]&gt;=26,"ALTO")</f>
        <v>ALTO</v>
      </c>
      <c r="O336" s="12" t="str">
        <f>IF(AND(Tabela1[[#This Row],[nivel_risco]]="ALTO",Tabela1[[#This Row],[flag_inadimplente]] = "Sim"),"negada","aprovada")</f>
        <v>aprovada</v>
      </c>
      <c r="P336" s="12" t="str">
        <f>IF(AND(Tabela1[[#This Row],[credito_tomado]]&gt;50000,Tabela1[[#This Row],[flag_inadimplente]]="Sim"),"negada","aprovada")</f>
        <v>aprovada</v>
      </c>
      <c r="Q336" s="6">
        <v>36500</v>
      </c>
      <c r="R336" s="12" cm="1">
        <f t="array" ref="R33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2920</v>
      </c>
    </row>
    <row r="337" spans="1:18" ht="15.75" customHeight="1" x14ac:dyDescent="0.2">
      <c r="A337" s="2" t="s">
        <v>80</v>
      </c>
      <c r="B337" s="7" t="s">
        <v>682</v>
      </c>
      <c r="C337" s="1" t="s">
        <v>683</v>
      </c>
      <c r="D337" s="1" t="str">
        <f>TEXT(C337,"000\.000\.000\-00")</f>
        <v>000.000.362-00</v>
      </c>
      <c r="E337" s="2">
        <v>68</v>
      </c>
      <c r="F337" s="3">
        <v>21145</v>
      </c>
      <c r="G337" s="2" t="s">
        <v>99</v>
      </c>
      <c r="H337" s="7" t="s">
        <v>113</v>
      </c>
      <c r="I337" s="7" t="str">
        <f>PROPER(Tabela1[[#This Row],[regiao]])</f>
        <v>Norte</v>
      </c>
      <c r="J337" s="8">
        <v>29000</v>
      </c>
      <c r="K337" s="9">
        <v>67500</v>
      </c>
      <c r="L337" s="2" t="s">
        <v>86</v>
      </c>
      <c r="M337" s="2">
        <v>25</v>
      </c>
      <c r="N337" s="2" t="str" cm="1">
        <f t="array" ref="N337">_xlfn.IFS(Tabela1[[#This Row],[qtde_]]="N/A", "N/A",Tabela1[[#This Row],[qtde_]]&lt;11,"BAIXO",Tabela1[[#This Row],[qtde_]]&lt;26,"MÉDIO",Tabela1[[#This Row],[qtde_]]&gt;=26,"ALTO")</f>
        <v>MÉDIO</v>
      </c>
      <c r="O337" s="12" t="str">
        <f>IF(AND(Tabela1[[#This Row],[nivel_risco]]="ALTO",Tabela1[[#This Row],[flag_inadimplente]] = "Sim"),"negada","aprovada")</f>
        <v>aprovada</v>
      </c>
      <c r="P337" s="12" t="str">
        <f>IF(AND(Tabela1[[#This Row],[credito_tomado]]&gt;50000,Tabela1[[#This Row],[flag_inadimplente]]="Sim"),"negada","aprovada")</f>
        <v>aprovada</v>
      </c>
      <c r="Q337" s="6">
        <v>18000</v>
      </c>
      <c r="R337" s="12" cm="1">
        <f t="array" ref="R33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1440</v>
      </c>
    </row>
    <row r="338" spans="1:18" ht="15.75" customHeight="1" x14ac:dyDescent="0.2">
      <c r="A338" s="2" t="s">
        <v>80</v>
      </c>
      <c r="B338" s="7" t="s">
        <v>684</v>
      </c>
      <c r="C338" s="1" t="s">
        <v>685</v>
      </c>
      <c r="D338" s="1" t="str">
        <f>TEXT(C338,"000\.000\.000\-00")</f>
        <v>000.000.228-00</v>
      </c>
      <c r="E338" s="2">
        <v>65</v>
      </c>
      <c r="F338" s="3">
        <v>22505</v>
      </c>
      <c r="G338" s="2" t="s">
        <v>156</v>
      </c>
      <c r="H338" s="7" t="s">
        <v>113</v>
      </c>
      <c r="I338" s="7" t="str">
        <f>PROPER(Tabela1[[#This Row],[regiao]])</f>
        <v>Norte</v>
      </c>
      <c r="J338" s="8">
        <v>29000</v>
      </c>
      <c r="K338" s="9">
        <v>28500</v>
      </c>
      <c r="L338" s="2" t="s">
        <v>86</v>
      </c>
      <c r="M338" s="2">
        <v>28</v>
      </c>
      <c r="N338" s="2" t="str" cm="1">
        <f t="array" ref="N338">_xlfn.IFS(Tabela1[[#This Row],[qtde_]]="N/A", "N/A",Tabela1[[#This Row],[qtde_]]&lt;11,"BAIXO",Tabela1[[#This Row],[qtde_]]&lt;26,"MÉDIO",Tabela1[[#This Row],[qtde_]]&gt;=26,"ALTO")</f>
        <v>ALTO</v>
      </c>
      <c r="O338" s="12" t="str">
        <f>IF(AND(Tabela1[[#This Row],[nivel_risco]]="ALTO",Tabela1[[#This Row],[flag_inadimplente]] = "Sim"),"negada","aprovada")</f>
        <v>aprovada</v>
      </c>
      <c r="P338" s="12" t="str">
        <f>IF(AND(Tabela1[[#This Row],[credito_tomado]]&gt;50000,Tabela1[[#This Row],[flag_inadimplente]]="Sim"),"negada","aprovada")</f>
        <v>aprovada</v>
      </c>
      <c r="Q338" s="6">
        <v>57500</v>
      </c>
      <c r="R338" s="12" cm="1">
        <f t="array" ref="R33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4600</v>
      </c>
    </row>
    <row r="339" spans="1:18" ht="15.75" customHeight="1" x14ac:dyDescent="0.2">
      <c r="A339" s="2" t="s">
        <v>96</v>
      </c>
      <c r="B339" s="7" t="s">
        <v>686</v>
      </c>
      <c r="C339" s="1" t="s">
        <v>687</v>
      </c>
      <c r="D339" s="1" t="str">
        <f>TEXT(C339,"000\.000\.000\-00")</f>
        <v>000.000.073-00</v>
      </c>
      <c r="E339" s="2">
        <v>63</v>
      </c>
      <c r="F339" s="3">
        <v>22924</v>
      </c>
      <c r="G339" s="2" t="s">
        <v>124</v>
      </c>
      <c r="H339" s="7" t="s">
        <v>125</v>
      </c>
      <c r="I339" s="7" t="str">
        <f>PROPER(Tabela1[[#This Row],[regiao]])</f>
        <v>Essos</v>
      </c>
      <c r="J339" s="8">
        <v>29000</v>
      </c>
      <c r="K339" s="9">
        <v>36500</v>
      </c>
      <c r="L339" s="2" t="s">
        <v>86</v>
      </c>
      <c r="M339" s="2">
        <v>38</v>
      </c>
      <c r="N339" s="2" t="str" cm="1">
        <f t="array" ref="N339">_xlfn.IFS(Tabela1[[#This Row],[qtde_]]="N/A", "N/A",Tabela1[[#This Row],[qtde_]]&lt;11,"BAIXO",Tabela1[[#This Row],[qtde_]]&lt;26,"MÉDIO",Tabela1[[#This Row],[qtde_]]&gt;=26,"ALTO")</f>
        <v>ALTO</v>
      </c>
      <c r="O339" s="12" t="str">
        <f>IF(AND(Tabela1[[#This Row],[nivel_risco]]="ALTO",Tabela1[[#This Row],[flag_inadimplente]] = "Sim"),"negada","aprovada")</f>
        <v>aprovada</v>
      </c>
      <c r="P339" s="12" t="str">
        <f>IF(AND(Tabela1[[#This Row],[credito_tomado]]&gt;50000,Tabela1[[#This Row],[flag_inadimplente]]="Sim"),"negada","aprovada")</f>
        <v>aprovada</v>
      </c>
      <c r="Q339" s="6">
        <v>47000</v>
      </c>
      <c r="R339" s="12" t="e" cm="1">
        <f t="array" ref="R33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40" spans="1:18" ht="15.75" customHeight="1" x14ac:dyDescent="0.2">
      <c r="A340" s="2" t="s">
        <v>96</v>
      </c>
      <c r="B340" s="7" t="s">
        <v>686</v>
      </c>
      <c r="C340" s="1" t="s">
        <v>687</v>
      </c>
      <c r="D340" s="1" t="str">
        <f>TEXT(C340,"000\.000\.000\-00")</f>
        <v>000.000.073-00</v>
      </c>
      <c r="E340" s="2">
        <v>63</v>
      </c>
      <c r="F340" s="3">
        <v>22924</v>
      </c>
      <c r="G340" s="2" t="s">
        <v>124</v>
      </c>
      <c r="H340" s="7" t="s">
        <v>125</v>
      </c>
      <c r="I340" s="7" t="str">
        <f>PROPER(Tabela1[[#This Row],[regiao]])</f>
        <v>Essos</v>
      </c>
      <c r="J340" s="8">
        <v>29000</v>
      </c>
      <c r="K340" s="9">
        <v>36500</v>
      </c>
      <c r="L340" s="2" t="s">
        <v>86</v>
      </c>
      <c r="M340" s="2">
        <v>38</v>
      </c>
      <c r="N340" s="2" t="str" cm="1">
        <f t="array" ref="N340">_xlfn.IFS(Tabela1[[#This Row],[qtde_]]="N/A", "N/A",Tabela1[[#This Row],[qtde_]]&lt;11,"BAIXO",Tabela1[[#This Row],[qtde_]]&lt;26,"MÉDIO",Tabela1[[#This Row],[qtde_]]&gt;=26,"ALTO")</f>
        <v>ALTO</v>
      </c>
      <c r="O340" s="12" t="str">
        <f>IF(AND(Tabela1[[#This Row],[nivel_risco]]="ALTO",Tabela1[[#This Row],[flag_inadimplente]] = "Sim"),"negada","aprovada")</f>
        <v>aprovada</v>
      </c>
      <c r="P340" s="12" t="str">
        <f>IF(AND(Tabela1[[#This Row],[credito_tomado]]&gt;50000,Tabela1[[#This Row],[flag_inadimplente]]="Sim"),"negada","aprovada")</f>
        <v>aprovada</v>
      </c>
      <c r="Q340" s="6">
        <v>68000</v>
      </c>
      <c r="R340" s="12" t="e" cm="1">
        <f t="array" ref="R34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41" spans="1:18" ht="15.75" customHeight="1" x14ac:dyDescent="0.2">
      <c r="A341" s="2" t="s">
        <v>80</v>
      </c>
      <c r="B341" s="7" t="s">
        <v>688</v>
      </c>
      <c r="C341" s="1" t="s">
        <v>689</v>
      </c>
      <c r="D341" s="1" t="str">
        <f>TEXT(C341,"000\.000\.000\-00")</f>
        <v>000.000.054-00</v>
      </c>
      <c r="E341" s="2">
        <v>55</v>
      </c>
      <c r="F341" s="3">
        <v>25874</v>
      </c>
      <c r="G341" s="2" t="s">
        <v>115</v>
      </c>
      <c r="H341" s="7" t="s">
        <v>276</v>
      </c>
      <c r="I341" s="7" t="str">
        <f>PROPER(Tabela1[[#This Row],[regiao]])</f>
        <v>Dorne</v>
      </c>
      <c r="J341" s="8">
        <v>29100</v>
      </c>
      <c r="K341" s="9">
        <v>5500</v>
      </c>
      <c r="L341" s="2" t="s">
        <v>86</v>
      </c>
      <c r="M341" s="2">
        <v>11</v>
      </c>
      <c r="N341" s="2" t="str" cm="1">
        <f t="array" ref="N341">_xlfn.IFS(Tabela1[[#This Row],[qtde_]]="N/A", "N/A",Tabela1[[#This Row],[qtde_]]&lt;11,"BAIXO",Tabela1[[#This Row],[qtde_]]&lt;26,"MÉDIO",Tabela1[[#This Row],[qtde_]]&gt;=26,"ALTO")</f>
        <v>MÉDIO</v>
      </c>
      <c r="O341" s="12" t="str">
        <f>IF(AND(Tabela1[[#This Row],[nivel_risco]]="ALTO",Tabela1[[#This Row],[flag_inadimplente]] = "Sim"),"negada","aprovada")</f>
        <v>aprovada</v>
      </c>
      <c r="P341" s="12" t="str">
        <f>IF(AND(Tabela1[[#This Row],[credito_tomado]]&gt;50000,Tabela1[[#This Row],[flag_inadimplente]]="Sim"),"negada","aprovada")</f>
        <v>aprovada</v>
      </c>
      <c r="Q341" s="6">
        <v>56000</v>
      </c>
      <c r="R341" s="12" cm="1">
        <f t="array" ref="R34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4480</v>
      </c>
    </row>
    <row r="342" spans="1:18" ht="15.75" customHeight="1" x14ac:dyDescent="0.2">
      <c r="A342" s="2" t="s">
        <v>80</v>
      </c>
      <c r="B342" s="7" t="s">
        <v>690</v>
      </c>
      <c r="C342" s="1" t="s">
        <v>691</v>
      </c>
      <c r="D342" s="1" t="str">
        <f>TEXT(C342,"000\.000\.000\-00")</f>
        <v>000.000.092-00</v>
      </c>
      <c r="E342" s="2">
        <v>37</v>
      </c>
      <c r="F342" s="3">
        <v>32543</v>
      </c>
      <c r="G342" s="2" t="s">
        <v>206</v>
      </c>
      <c r="H342" s="7" t="s">
        <v>85</v>
      </c>
      <c r="I342" s="7" t="str">
        <f>PROPER(Tabela1[[#This Row],[regiao]])</f>
        <v>Campina</v>
      </c>
      <c r="J342" s="8">
        <v>29200</v>
      </c>
      <c r="K342" s="9">
        <v>45000</v>
      </c>
      <c r="L342" s="2" t="s">
        <v>86</v>
      </c>
      <c r="M342" s="2">
        <v>26</v>
      </c>
      <c r="N342" s="2" t="str" cm="1">
        <f t="array" ref="N342">_xlfn.IFS(Tabela1[[#This Row],[qtde_]]="N/A", "N/A",Tabela1[[#This Row],[qtde_]]&lt;11,"BAIXO",Tabela1[[#This Row],[qtde_]]&lt;26,"MÉDIO",Tabela1[[#This Row],[qtde_]]&gt;=26,"ALTO")</f>
        <v>ALTO</v>
      </c>
      <c r="O342" s="12" t="str">
        <f>IF(AND(Tabela1[[#This Row],[nivel_risco]]="ALTO",Tabela1[[#This Row],[flag_inadimplente]] = "Sim"),"negada","aprovada")</f>
        <v>aprovada</v>
      </c>
      <c r="P342" s="12" t="str">
        <f>IF(AND(Tabela1[[#This Row],[credito_tomado]]&gt;50000,Tabela1[[#This Row],[flag_inadimplente]]="Sim"),"negada","aprovada")</f>
        <v>aprovada</v>
      </c>
      <c r="Q342" s="6">
        <v>23500</v>
      </c>
      <c r="R342" s="12" cm="1">
        <f t="array" ref="R34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1880</v>
      </c>
    </row>
    <row r="343" spans="1:18" ht="15.75" customHeight="1" x14ac:dyDescent="0.2">
      <c r="A343" s="2" t="s">
        <v>80</v>
      </c>
      <c r="B343" s="7" t="s">
        <v>690</v>
      </c>
      <c r="C343" s="1" t="s">
        <v>691</v>
      </c>
      <c r="D343" s="1" t="str">
        <f>TEXT(C343,"000\.000\.000\-00")</f>
        <v>000.000.092-00</v>
      </c>
      <c r="E343" s="2">
        <v>37</v>
      </c>
      <c r="F343" s="3">
        <v>32543</v>
      </c>
      <c r="G343" s="2" t="s">
        <v>206</v>
      </c>
      <c r="H343" s="7" t="s">
        <v>85</v>
      </c>
      <c r="I343" s="7" t="str">
        <f>PROPER(Tabela1[[#This Row],[regiao]])</f>
        <v>Campina</v>
      </c>
      <c r="J343" s="8">
        <v>29200</v>
      </c>
      <c r="K343" s="9">
        <v>45000</v>
      </c>
      <c r="L343" s="2" t="s">
        <v>86</v>
      </c>
      <c r="M343" s="2">
        <v>26</v>
      </c>
      <c r="N343" s="2" t="str" cm="1">
        <f t="array" ref="N343">_xlfn.IFS(Tabela1[[#This Row],[qtde_]]="N/A", "N/A",Tabela1[[#This Row],[qtde_]]&lt;11,"BAIXO",Tabela1[[#This Row],[qtde_]]&lt;26,"MÉDIO",Tabela1[[#This Row],[qtde_]]&gt;=26,"ALTO")</f>
        <v>ALTO</v>
      </c>
      <c r="O343" s="12" t="str">
        <f>IF(AND(Tabela1[[#This Row],[nivel_risco]]="ALTO",Tabela1[[#This Row],[flag_inadimplente]] = "Sim"),"negada","aprovada")</f>
        <v>aprovada</v>
      </c>
      <c r="P343" s="12" t="str">
        <f>IF(AND(Tabela1[[#This Row],[credito_tomado]]&gt;50000,Tabela1[[#This Row],[flag_inadimplente]]="Sim"),"negada","aprovada")</f>
        <v>aprovada</v>
      </c>
      <c r="Q343" s="6">
        <v>78000</v>
      </c>
      <c r="R343" s="12" cm="1">
        <f t="array" ref="R34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6240</v>
      </c>
    </row>
    <row r="344" spans="1:18" ht="15.75" customHeight="1" x14ac:dyDescent="0.2">
      <c r="A344" s="2" t="s">
        <v>80</v>
      </c>
      <c r="B344" s="7" t="s">
        <v>692</v>
      </c>
      <c r="C344" s="1" t="s">
        <v>693</v>
      </c>
      <c r="D344" s="1" t="str">
        <f>TEXT(C344,"000\.000\.000\-00")</f>
        <v>000.000.296-00</v>
      </c>
      <c r="E344" s="2">
        <v>71</v>
      </c>
      <c r="F344" s="3">
        <v>20187</v>
      </c>
      <c r="G344" s="2" t="s">
        <v>124</v>
      </c>
      <c r="H344" s="7" t="s">
        <v>139</v>
      </c>
      <c r="I344" s="7" t="str">
        <f>PROPER(Tabela1[[#This Row],[regiao]])</f>
        <v>Essos</v>
      </c>
      <c r="J344" s="8">
        <v>29200</v>
      </c>
      <c r="K344" s="9">
        <v>73500</v>
      </c>
      <c r="L344" s="2" t="s">
        <v>86</v>
      </c>
      <c r="M344" s="2">
        <v>2</v>
      </c>
      <c r="N344" s="2" t="str" cm="1">
        <f t="array" ref="N344">_xlfn.IFS(Tabela1[[#This Row],[qtde_]]="N/A", "N/A",Tabela1[[#This Row],[qtde_]]&lt;11,"BAIXO",Tabela1[[#This Row],[qtde_]]&lt;26,"MÉDIO",Tabela1[[#This Row],[qtde_]]&gt;=26,"ALTO")</f>
        <v>BAIXO</v>
      </c>
      <c r="O344" s="12" t="str">
        <f>IF(AND(Tabela1[[#This Row],[nivel_risco]]="ALTO",Tabela1[[#This Row],[flag_inadimplente]] = "Sim"),"negada","aprovada")</f>
        <v>aprovada</v>
      </c>
      <c r="P344" s="12" t="str">
        <f>IF(AND(Tabela1[[#This Row],[credito_tomado]]&gt;50000,Tabela1[[#This Row],[flag_inadimplente]]="Sim"),"negada","aprovada")</f>
        <v>aprovada</v>
      </c>
      <c r="Q344" s="6">
        <v>33000</v>
      </c>
      <c r="R344" s="12" cm="1">
        <f t="array" ref="R34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2640</v>
      </c>
    </row>
    <row r="345" spans="1:18" ht="15.75" customHeight="1" x14ac:dyDescent="0.2">
      <c r="A345" s="2" t="s">
        <v>80</v>
      </c>
      <c r="B345" s="7" t="s">
        <v>534</v>
      </c>
      <c r="C345" s="1" t="s">
        <v>694</v>
      </c>
      <c r="D345" s="1" t="str">
        <f>TEXT(C345,"000\.000\.000\-00")</f>
        <v>000.000.303-00</v>
      </c>
      <c r="E345" s="2">
        <v>24</v>
      </c>
      <c r="F345" s="3" t="s">
        <v>83</v>
      </c>
      <c r="G345" s="2" t="s">
        <v>112</v>
      </c>
      <c r="H345" s="7" t="s">
        <v>113</v>
      </c>
      <c r="I345" s="7" t="str">
        <f>PROPER(Tabela1[[#This Row],[regiao]])</f>
        <v>Norte</v>
      </c>
      <c r="J345" s="8">
        <v>29300</v>
      </c>
      <c r="K345" s="9">
        <v>32000</v>
      </c>
      <c r="L345" s="2" t="s">
        <v>101</v>
      </c>
      <c r="M345" s="2">
        <v>26</v>
      </c>
      <c r="N345" s="2" t="str" cm="1">
        <f t="array" ref="N345">_xlfn.IFS(Tabela1[[#This Row],[qtde_]]="N/A", "N/A",Tabela1[[#This Row],[qtde_]]&lt;11,"BAIXO",Tabela1[[#This Row],[qtde_]]&lt;26,"MÉDIO",Tabela1[[#This Row],[qtde_]]&gt;=26,"ALTO")</f>
        <v>ALTO</v>
      </c>
      <c r="O345" s="12" t="str">
        <f>IF(AND(Tabela1[[#This Row],[nivel_risco]]="ALTO",Tabela1[[#This Row],[flag_inadimplente]] = "Sim"),"negada","aprovada")</f>
        <v>negada</v>
      </c>
      <c r="P345" s="12" t="str">
        <f>IF(AND(Tabela1[[#This Row],[credito_tomado]]&gt;50000,Tabela1[[#This Row],[flag_inadimplente]]="Sim"),"negada","aprovada")</f>
        <v>aprovada</v>
      </c>
      <c r="Q345" s="6">
        <v>59000</v>
      </c>
      <c r="R345" s="12" t="e" cm="1">
        <f t="array" ref="R34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46" spans="1:18" ht="15.75" customHeight="1" x14ac:dyDescent="0.2">
      <c r="A346" s="2" t="s">
        <v>80</v>
      </c>
      <c r="B346" s="7" t="s">
        <v>695</v>
      </c>
      <c r="C346" s="1" t="s">
        <v>696</v>
      </c>
      <c r="D346" s="1" t="str">
        <f>TEXT(C346,"000\.000\.000\-00")</f>
        <v>000.000.110-00</v>
      </c>
      <c r="E346" s="2">
        <v>33</v>
      </c>
      <c r="F346" s="3">
        <v>34070</v>
      </c>
      <c r="G346" s="2" t="s">
        <v>197</v>
      </c>
      <c r="H346" s="7" t="s">
        <v>230</v>
      </c>
      <c r="I346" s="7" t="str">
        <f>PROPER(Tabela1[[#This Row],[regiao]])</f>
        <v>Terras Da Tempestade</v>
      </c>
      <c r="J346" s="8">
        <v>29300</v>
      </c>
      <c r="K346" s="9">
        <v>69000</v>
      </c>
      <c r="L346" s="2" t="s">
        <v>101</v>
      </c>
      <c r="M346" s="2">
        <v>0</v>
      </c>
      <c r="N346" s="2" t="str" cm="1">
        <f t="array" ref="N346">_xlfn.IFS(Tabela1[[#This Row],[qtde_]]="N/A", "N/A",Tabela1[[#This Row],[qtde_]]&lt;11,"BAIXO",Tabela1[[#This Row],[qtde_]]&lt;26,"MÉDIO",Tabela1[[#This Row],[qtde_]]&gt;=26,"ALTO")</f>
        <v>BAIXO</v>
      </c>
      <c r="O346" s="12" t="str">
        <f>IF(AND(Tabela1[[#This Row],[nivel_risco]]="ALTO",Tabela1[[#This Row],[flag_inadimplente]] = "Sim"),"negada","aprovada")</f>
        <v>aprovada</v>
      </c>
      <c r="P346" s="12" t="str">
        <f>IF(AND(Tabela1[[#This Row],[credito_tomado]]&gt;50000,Tabela1[[#This Row],[flag_inadimplente]]="Sim"),"negada","aprovada")</f>
        <v>negada</v>
      </c>
      <c r="Q346" s="6">
        <v>4500</v>
      </c>
      <c r="R346" s="12" t="e" cm="1">
        <f t="array" ref="R34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47" spans="1:18" ht="15.75" customHeight="1" x14ac:dyDescent="0.2">
      <c r="A347" s="2" t="s">
        <v>96</v>
      </c>
      <c r="B347" s="7" t="s">
        <v>697</v>
      </c>
      <c r="C347" s="1" t="s">
        <v>698</v>
      </c>
      <c r="D347" s="1" t="str">
        <f>TEXT(C347,"000\.000\.000\-00")</f>
        <v>000.000.107-00</v>
      </c>
      <c r="E347" s="2">
        <v>31</v>
      </c>
      <c r="F347" s="3">
        <v>34824</v>
      </c>
      <c r="G347" s="2" t="s">
        <v>197</v>
      </c>
      <c r="H347" s="7" t="s">
        <v>105</v>
      </c>
      <c r="I347" s="7" t="str">
        <f>PROPER(Tabela1[[#This Row],[regiao]])</f>
        <v>Terras Da Tempestade</v>
      </c>
      <c r="J347" s="8">
        <v>29500</v>
      </c>
      <c r="K347" s="9">
        <v>5000</v>
      </c>
      <c r="L347" s="2" t="s">
        <v>86</v>
      </c>
      <c r="M347" s="2">
        <v>22</v>
      </c>
      <c r="N347" s="2" t="str" cm="1">
        <f t="array" ref="N347">_xlfn.IFS(Tabela1[[#This Row],[qtde_]]="N/A", "N/A",Tabela1[[#This Row],[qtde_]]&lt;11,"BAIXO",Tabela1[[#This Row],[qtde_]]&lt;26,"MÉDIO",Tabela1[[#This Row],[qtde_]]&gt;=26,"ALTO")</f>
        <v>MÉDIO</v>
      </c>
      <c r="O347" s="12" t="str">
        <f>IF(AND(Tabela1[[#This Row],[nivel_risco]]="ALTO",Tabela1[[#This Row],[flag_inadimplente]] = "Sim"),"negada","aprovada")</f>
        <v>aprovada</v>
      </c>
      <c r="P347" s="12" t="str">
        <f>IF(AND(Tabela1[[#This Row],[credito_tomado]]&gt;50000,Tabela1[[#This Row],[flag_inadimplente]]="Sim"),"negada","aprovada")</f>
        <v>aprovada</v>
      </c>
      <c r="Q347" s="6">
        <v>18000</v>
      </c>
      <c r="R347" s="12" t="e" cm="1">
        <f t="array" ref="R34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48" spans="1:18" ht="15.75" customHeight="1" x14ac:dyDescent="0.2">
      <c r="A348" s="2" t="s">
        <v>80</v>
      </c>
      <c r="B348" s="7" t="s">
        <v>699</v>
      </c>
      <c r="C348" s="1" t="s">
        <v>700</v>
      </c>
      <c r="D348" s="1" t="str">
        <f>TEXT(C348,"000\.000\.000\-00")</f>
        <v>000.000.341-00</v>
      </c>
      <c r="E348" s="2">
        <v>54</v>
      </c>
      <c r="F348" s="3">
        <v>26213</v>
      </c>
      <c r="G348" s="2" t="s">
        <v>206</v>
      </c>
      <c r="H348" s="7" t="s">
        <v>226</v>
      </c>
      <c r="I348" s="7" t="str">
        <f>PROPER(Tabela1[[#This Row],[regiao]])</f>
        <v>Campina</v>
      </c>
      <c r="J348" s="8">
        <v>29700</v>
      </c>
      <c r="K348" s="9">
        <v>34000</v>
      </c>
      <c r="L348" s="2" t="s">
        <v>86</v>
      </c>
      <c r="M348" s="2">
        <v>35</v>
      </c>
      <c r="N348" s="2" t="str" cm="1">
        <f t="array" ref="N348">_xlfn.IFS(Tabela1[[#This Row],[qtde_]]="N/A", "N/A",Tabela1[[#This Row],[qtde_]]&lt;11,"BAIXO",Tabela1[[#This Row],[qtde_]]&lt;26,"MÉDIO",Tabela1[[#This Row],[qtde_]]&gt;=26,"ALTO")</f>
        <v>ALTO</v>
      </c>
      <c r="O348" s="12" t="str">
        <f>IF(AND(Tabela1[[#This Row],[nivel_risco]]="ALTO",Tabela1[[#This Row],[flag_inadimplente]] = "Sim"),"negada","aprovada")</f>
        <v>aprovada</v>
      </c>
      <c r="P348" s="12" t="str">
        <f>IF(AND(Tabela1[[#This Row],[credito_tomado]]&gt;50000,Tabela1[[#This Row],[flag_inadimplente]]="Sim"),"negada","aprovada")</f>
        <v>aprovada</v>
      </c>
      <c r="Q348" s="6">
        <v>35000</v>
      </c>
      <c r="R348" s="12" cm="1">
        <f t="array" ref="R34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2800</v>
      </c>
    </row>
    <row r="349" spans="1:18" ht="15.75" customHeight="1" x14ac:dyDescent="0.2">
      <c r="A349" s="2" t="s">
        <v>80</v>
      </c>
      <c r="B349" s="7" t="s">
        <v>701</v>
      </c>
      <c r="C349" s="1" t="s">
        <v>702</v>
      </c>
      <c r="D349" s="1" t="str">
        <f>TEXT(C349,"000\.000\.000\-00")</f>
        <v>000.000.270-00</v>
      </c>
      <c r="E349" s="2">
        <v>33</v>
      </c>
      <c r="F349" s="3">
        <v>33881</v>
      </c>
      <c r="G349" s="2" t="s">
        <v>112</v>
      </c>
      <c r="H349" s="7" t="s">
        <v>100</v>
      </c>
      <c r="I349" s="7" t="str">
        <f>PROPER(Tabela1[[#This Row],[regiao]])</f>
        <v>Norte</v>
      </c>
      <c r="J349" s="8">
        <v>29700</v>
      </c>
      <c r="K349" s="9">
        <v>22000</v>
      </c>
      <c r="L349" s="2" t="s">
        <v>86</v>
      </c>
      <c r="M349" s="2">
        <v>38</v>
      </c>
      <c r="N349" s="2" t="str" cm="1">
        <f t="array" ref="N349">_xlfn.IFS(Tabela1[[#This Row],[qtde_]]="N/A", "N/A",Tabela1[[#This Row],[qtde_]]&lt;11,"BAIXO",Tabela1[[#This Row],[qtde_]]&lt;26,"MÉDIO",Tabela1[[#This Row],[qtde_]]&gt;=26,"ALTO")</f>
        <v>ALTO</v>
      </c>
      <c r="O349" s="12" t="str">
        <f>IF(AND(Tabela1[[#This Row],[nivel_risco]]="ALTO",Tabela1[[#This Row],[flag_inadimplente]] = "Sim"),"negada","aprovada")</f>
        <v>aprovada</v>
      </c>
      <c r="P349" s="12" t="str">
        <f>IF(AND(Tabela1[[#This Row],[credito_tomado]]&gt;50000,Tabela1[[#This Row],[flag_inadimplente]]="Sim"),"negada","aprovada")</f>
        <v>aprovada</v>
      </c>
      <c r="Q349" s="6">
        <v>81000</v>
      </c>
      <c r="R349" s="12" cm="1">
        <f t="array" ref="R34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6480</v>
      </c>
    </row>
    <row r="350" spans="1:18" ht="15.75" customHeight="1" x14ac:dyDescent="0.2">
      <c r="A350" s="2" t="s">
        <v>80</v>
      </c>
      <c r="B350" s="7" t="s">
        <v>703</v>
      </c>
      <c r="C350" s="1" t="s">
        <v>704</v>
      </c>
      <c r="D350" s="1" t="str">
        <f>TEXT(C350,"000\.000\.000\-00")</f>
        <v>000.000.001-00</v>
      </c>
      <c r="E350" s="2">
        <v>27</v>
      </c>
      <c r="F350" s="3">
        <v>36288</v>
      </c>
      <c r="G350" s="2" t="s">
        <v>267</v>
      </c>
      <c r="H350" s="7" t="s">
        <v>113</v>
      </c>
      <c r="I350" s="7" t="str">
        <f>PROPER(Tabela1[[#This Row],[regiao]])</f>
        <v>Norte</v>
      </c>
      <c r="J350" s="8">
        <v>29700</v>
      </c>
      <c r="K350" s="9">
        <v>12000</v>
      </c>
      <c r="L350" s="2" t="s">
        <v>86</v>
      </c>
      <c r="M350" s="2">
        <v>37</v>
      </c>
      <c r="N350" s="2" t="str" cm="1">
        <f t="array" ref="N350">_xlfn.IFS(Tabela1[[#This Row],[qtde_]]="N/A", "N/A",Tabela1[[#This Row],[qtde_]]&lt;11,"BAIXO",Tabela1[[#This Row],[qtde_]]&lt;26,"MÉDIO",Tabela1[[#This Row],[qtde_]]&gt;=26,"ALTO")</f>
        <v>ALTO</v>
      </c>
      <c r="O350" s="12" t="str">
        <f>IF(AND(Tabela1[[#This Row],[nivel_risco]]="ALTO",Tabela1[[#This Row],[flag_inadimplente]] = "Sim"),"negada","aprovada")</f>
        <v>aprovada</v>
      </c>
      <c r="P350" s="12" t="str">
        <f>IF(AND(Tabela1[[#This Row],[credito_tomado]]&gt;50000,Tabela1[[#This Row],[flag_inadimplente]]="Sim"),"negada","aprovada")</f>
        <v>aprovada</v>
      </c>
      <c r="Q350" s="6">
        <v>49000</v>
      </c>
      <c r="R350" s="12" cm="1">
        <f t="array" ref="R35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3920</v>
      </c>
    </row>
    <row r="351" spans="1:18" ht="15.75" customHeight="1" x14ac:dyDescent="0.2">
      <c r="A351" s="2" t="s">
        <v>96</v>
      </c>
      <c r="B351" s="7" t="s">
        <v>705</v>
      </c>
      <c r="C351" s="1" t="s">
        <v>706</v>
      </c>
      <c r="D351" s="1" t="str">
        <f>TEXT(C351,"000\.000\.000\-00")</f>
        <v>000.000.015-00</v>
      </c>
      <c r="E351" s="2">
        <v>55</v>
      </c>
      <c r="F351" s="3">
        <v>26142</v>
      </c>
      <c r="G351" s="2" t="s">
        <v>144</v>
      </c>
      <c r="H351" s="7" t="s">
        <v>169</v>
      </c>
      <c r="I351" s="7" t="str">
        <f>PROPER(Tabela1[[#This Row],[regiao]])</f>
        <v>Vale</v>
      </c>
      <c r="J351" s="8">
        <v>29700</v>
      </c>
      <c r="K351" s="9">
        <v>78000</v>
      </c>
      <c r="L351" s="2" t="s">
        <v>101</v>
      </c>
      <c r="M351" s="2">
        <v>14</v>
      </c>
      <c r="N351" s="2" t="str" cm="1">
        <f t="array" ref="N351">_xlfn.IFS(Tabela1[[#This Row],[qtde_]]="N/A", "N/A",Tabela1[[#This Row],[qtde_]]&lt;11,"BAIXO",Tabela1[[#This Row],[qtde_]]&lt;26,"MÉDIO",Tabela1[[#This Row],[qtde_]]&gt;=26,"ALTO")</f>
        <v>MÉDIO</v>
      </c>
      <c r="O351" s="12" t="str">
        <f>IF(AND(Tabela1[[#This Row],[nivel_risco]]="ALTO",Tabela1[[#This Row],[flag_inadimplente]] = "Sim"),"negada","aprovada")</f>
        <v>aprovada</v>
      </c>
      <c r="P351" s="12" t="str">
        <f>IF(AND(Tabela1[[#This Row],[credito_tomado]]&gt;50000,Tabela1[[#This Row],[flag_inadimplente]]="Sim"),"negada","aprovada")</f>
        <v>negada</v>
      </c>
      <c r="Q351" s="6">
        <v>27000</v>
      </c>
      <c r="R351" s="12" t="e" cm="1">
        <f t="array" ref="R35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52" spans="1:18" ht="15.75" customHeight="1" x14ac:dyDescent="0.2">
      <c r="A352" s="2" t="s">
        <v>80</v>
      </c>
      <c r="B352" s="7" t="s">
        <v>707</v>
      </c>
      <c r="C352" s="1" t="s">
        <v>708</v>
      </c>
      <c r="D352" s="1" t="str">
        <f>TEXT(C352,"000\.000\.000\-00")</f>
        <v>000.000.302-00</v>
      </c>
      <c r="E352" s="2">
        <v>49</v>
      </c>
      <c r="F352" s="3">
        <v>28067</v>
      </c>
      <c r="G352" s="2" t="s">
        <v>94</v>
      </c>
      <c r="H352" s="7" t="s">
        <v>162</v>
      </c>
      <c r="I352" s="7" t="str">
        <f>PROPER(Tabela1[[#This Row],[regiao]])</f>
        <v>Ilhas De Ferro</v>
      </c>
      <c r="J352" s="8">
        <v>29800</v>
      </c>
      <c r="K352" s="9">
        <v>54500</v>
      </c>
      <c r="L352" s="2" t="s">
        <v>86</v>
      </c>
      <c r="M352" s="2">
        <v>34</v>
      </c>
      <c r="N352" s="2" t="str" cm="1">
        <f t="array" ref="N352">_xlfn.IFS(Tabela1[[#This Row],[qtde_]]="N/A", "N/A",Tabela1[[#This Row],[qtde_]]&lt;11,"BAIXO",Tabela1[[#This Row],[qtde_]]&lt;26,"MÉDIO",Tabela1[[#This Row],[qtde_]]&gt;=26,"ALTO")</f>
        <v>ALTO</v>
      </c>
      <c r="O352" s="12" t="str">
        <f>IF(AND(Tabela1[[#This Row],[nivel_risco]]="ALTO",Tabela1[[#This Row],[flag_inadimplente]] = "Sim"),"negada","aprovada")</f>
        <v>aprovada</v>
      </c>
      <c r="P352" s="12" t="str">
        <f>IF(AND(Tabela1[[#This Row],[credito_tomado]]&gt;50000,Tabela1[[#This Row],[flag_inadimplente]]="Sim"),"negada","aprovada")</f>
        <v>aprovada</v>
      </c>
      <c r="Q352" s="6">
        <v>72000</v>
      </c>
      <c r="R352" s="12" cm="1">
        <f t="array" ref="R35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5760</v>
      </c>
    </row>
    <row r="353" spans="1:18" ht="15.75" customHeight="1" x14ac:dyDescent="0.2">
      <c r="A353" s="2" t="s">
        <v>80</v>
      </c>
      <c r="B353" s="7" t="s">
        <v>709</v>
      </c>
      <c r="C353" s="1" t="s">
        <v>710</v>
      </c>
      <c r="D353" s="1" t="str">
        <f>TEXT(C353,"000\.000\.000\-00")</f>
        <v>000.000.050-00</v>
      </c>
      <c r="E353" s="2">
        <v>39</v>
      </c>
      <c r="F353" s="3">
        <v>31879</v>
      </c>
      <c r="G353" s="2" t="s">
        <v>206</v>
      </c>
      <c r="H353" s="7" t="s">
        <v>85</v>
      </c>
      <c r="I353" s="7" t="str">
        <f>PROPER(Tabela1[[#This Row],[regiao]])</f>
        <v>Campina</v>
      </c>
      <c r="J353" s="8">
        <v>29900</v>
      </c>
      <c r="K353" s="9">
        <v>0</v>
      </c>
      <c r="L353" s="2" t="s">
        <v>86</v>
      </c>
      <c r="M353" s="2">
        <v>39</v>
      </c>
      <c r="N353" s="2" t="str" cm="1">
        <f t="array" ref="N353">_xlfn.IFS(Tabela1[[#This Row],[qtde_]]="N/A", "N/A",Tabela1[[#This Row],[qtde_]]&lt;11,"BAIXO",Tabela1[[#This Row],[qtde_]]&lt;26,"MÉDIO",Tabela1[[#This Row],[qtde_]]&gt;=26,"ALTO")</f>
        <v>ALTO</v>
      </c>
      <c r="O353" s="12" t="str">
        <f>IF(AND(Tabela1[[#This Row],[nivel_risco]]="ALTO",Tabela1[[#This Row],[flag_inadimplente]] = "Sim"),"negada","aprovada")</f>
        <v>aprovada</v>
      </c>
      <c r="P353" s="12" t="str">
        <f>IF(AND(Tabela1[[#This Row],[credito_tomado]]&gt;50000,Tabela1[[#This Row],[flag_inadimplente]]="Sim"),"negada","aprovada")</f>
        <v>aprovada</v>
      </c>
      <c r="Q353" s="6">
        <v>75000</v>
      </c>
      <c r="R353" s="12" cm="1">
        <f t="array" ref="R35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6000</v>
      </c>
    </row>
    <row r="354" spans="1:18" ht="15.75" customHeight="1" x14ac:dyDescent="0.2">
      <c r="A354" s="2" t="s">
        <v>83</v>
      </c>
      <c r="B354" s="7" t="s">
        <v>711</v>
      </c>
      <c r="C354" s="1" t="s">
        <v>712</v>
      </c>
      <c r="D354" s="1" t="str">
        <f>TEXT(C354,"000\.000\.000\-00")</f>
        <v>000.000.261-00</v>
      </c>
      <c r="E354" s="2" t="s">
        <v>83</v>
      </c>
      <c r="F354" s="3">
        <v>33188</v>
      </c>
      <c r="G354" s="2" t="s">
        <v>124</v>
      </c>
      <c r="H354" s="7" t="s">
        <v>139</v>
      </c>
      <c r="I354" s="7" t="str">
        <f>PROPER(Tabela1[[#This Row],[regiao]])</f>
        <v>Essos</v>
      </c>
      <c r="J354" s="8">
        <v>29900</v>
      </c>
      <c r="K354" s="9">
        <v>64500</v>
      </c>
      <c r="L354" s="2" t="s">
        <v>86</v>
      </c>
      <c r="M354" s="2">
        <v>34</v>
      </c>
      <c r="N354" s="2" t="str" cm="1">
        <f t="array" ref="N354">_xlfn.IFS(Tabela1[[#This Row],[qtde_]]="N/A", "N/A",Tabela1[[#This Row],[qtde_]]&lt;11,"BAIXO",Tabela1[[#This Row],[qtde_]]&lt;26,"MÉDIO",Tabela1[[#This Row],[qtde_]]&gt;=26,"ALTO")</f>
        <v>ALTO</v>
      </c>
      <c r="O354" s="12" t="str">
        <f>IF(AND(Tabela1[[#This Row],[nivel_risco]]="ALTO",Tabela1[[#This Row],[flag_inadimplente]] = "Sim"),"negada","aprovada")</f>
        <v>aprovada</v>
      </c>
      <c r="P354" s="12" t="str">
        <f>IF(AND(Tabela1[[#This Row],[credito_tomado]]&gt;50000,Tabela1[[#This Row],[flag_inadimplente]]="Sim"),"negada","aprovada")</f>
        <v>aprovada</v>
      </c>
      <c r="Q354" s="6">
        <v>48500</v>
      </c>
      <c r="R354" s="12" t="e" cm="1">
        <f t="array" ref="R35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55" spans="1:18" ht="15.75" customHeight="1" x14ac:dyDescent="0.2">
      <c r="A355" s="2" t="s">
        <v>80</v>
      </c>
      <c r="B355" s="7" t="s">
        <v>375</v>
      </c>
      <c r="C355" s="1" t="s">
        <v>713</v>
      </c>
      <c r="D355" s="1" t="str">
        <f>TEXT(C355,"000\.000\.000\-00")</f>
        <v>000.000.321-00</v>
      </c>
      <c r="E355" s="2">
        <v>32</v>
      </c>
      <c r="F355" s="3">
        <v>34299</v>
      </c>
      <c r="G355" s="2" t="s">
        <v>144</v>
      </c>
      <c r="H355" s="7" t="s">
        <v>177</v>
      </c>
      <c r="I355" s="7" t="str">
        <f>PROPER(Tabela1[[#This Row],[regiao]])</f>
        <v>Vale</v>
      </c>
      <c r="J355" s="8">
        <v>30000</v>
      </c>
      <c r="K355" s="9" t="s">
        <v>83</v>
      </c>
      <c r="L355" s="2" t="s">
        <v>86</v>
      </c>
      <c r="M355" s="2">
        <v>5</v>
      </c>
      <c r="N355" s="2" t="str" cm="1">
        <f t="array" ref="N355">_xlfn.IFS(Tabela1[[#This Row],[qtde_]]="N/A", "N/A",Tabela1[[#This Row],[qtde_]]&lt;11,"BAIXO",Tabela1[[#This Row],[qtde_]]&lt;26,"MÉDIO",Tabela1[[#This Row],[qtde_]]&gt;=26,"ALTO")</f>
        <v>BAIXO</v>
      </c>
      <c r="O355" s="12" t="str">
        <f>IF(AND(Tabela1[[#This Row],[nivel_risco]]="ALTO",Tabela1[[#This Row],[flag_inadimplente]] = "Sim"),"negada","aprovada")</f>
        <v>aprovada</v>
      </c>
      <c r="P355" s="12" t="str">
        <f>IF(AND(Tabela1[[#This Row],[credito_tomado]]&gt;50000,Tabela1[[#This Row],[flag_inadimplente]]="Sim"),"negada","aprovada")</f>
        <v>aprovada</v>
      </c>
      <c r="Q355" s="6">
        <v>65000</v>
      </c>
      <c r="R355" s="12" t="str" cm="1">
        <f t="array" ref="R35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56" spans="1:18" ht="15.75" customHeight="1" x14ac:dyDescent="0.2">
      <c r="A356" s="2" t="s">
        <v>80</v>
      </c>
      <c r="B356" s="7" t="s">
        <v>714</v>
      </c>
      <c r="C356" s="1">
        <v>25700</v>
      </c>
      <c r="D356" s="1" t="str">
        <f>TEXT(C356,"000\.000\.000\-00")</f>
        <v>000.000.257-00</v>
      </c>
      <c r="E356" s="2">
        <v>27</v>
      </c>
      <c r="F356" s="3">
        <v>36152</v>
      </c>
      <c r="G356" s="2" t="s">
        <v>84</v>
      </c>
      <c r="H356" s="7" t="s">
        <v>226</v>
      </c>
      <c r="I356" s="7" t="str">
        <f>PROPER(Tabela1[[#This Row],[regiao]])</f>
        <v>Campina</v>
      </c>
      <c r="J356" s="8">
        <v>30000</v>
      </c>
      <c r="K356" s="9">
        <v>27000</v>
      </c>
      <c r="L356" s="2" t="s">
        <v>86</v>
      </c>
      <c r="M356" s="2">
        <v>28</v>
      </c>
      <c r="N356" s="2" t="str" cm="1">
        <f t="array" ref="N356">_xlfn.IFS(Tabela1[[#This Row],[qtde_]]="N/A", "N/A",Tabela1[[#This Row],[qtde_]]&lt;11,"BAIXO",Tabela1[[#This Row],[qtde_]]&lt;26,"MÉDIO",Tabela1[[#This Row],[qtde_]]&gt;=26,"ALTO")</f>
        <v>ALTO</v>
      </c>
      <c r="O356" s="12" t="str">
        <f>IF(AND(Tabela1[[#This Row],[nivel_risco]]="ALTO",Tabela1[[#This Row],[flag_inadimplente]] = "Sim"),"negada","aprovada")</f>
        <v>aprovada</v>
      </c>
      <c r="P356" s="12" t="str">
        <f>IF(AND(Tabela1[[#This Row],[credito_tomado]]&gt;50000,Tabela1[[#This Row],[flag_inadimplente]]="Sim"),"negada","aprovada")</f>
        <v>aprovada</v>
      </c>
      <c r="Q356" s="6">
        <v>28500</v>
      </c>
      <c r="R356" s="12" cm="1">
        <f t="array" ref="R35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2280</v>
      </c>
    </row>
    <row r="357" spans="1:18" ht="15.75" customHeight="1" x14ac:dyDescent="0.2">
      <c r="A357" s="2" t="s">
        <v>80</v>
      </c>
      <c r="B357" s="7" t="s">
        <v>715</v>
      </c>
      <c r="C357" s="1" t="s">
        <v>716</v>
      </c>
      <c r="D357" s="1" t="str">
        <f>TEXT(C357,"000\.000\.000\-00")</f>
        <v>000.000.366-00</v>
      </c>
      <c r="E357" s="2">
        <v>28</v>
      </c>
      <c r="F357" s="3" t="s">
        <v>83</v>
      </c>
      <c r="G357" s="10" t="s">
        <v>132</v>
      </c>
      <c r="H357" s="2" t="s">
        <v>141</v>
      </c>
      <c r="I357" s="2" t="str">
        <f>PROPER(Tabela1[[#This Row],[regiao]])</f>
        <v>Terras Fluviais</v>
      </c>
      <c r="J357" s="8">
        <v>35948</v>
      </c>
      <c r="K357" s="9" t="s">
        <v>83</v>
      </c>
      <c r="L357" s="2" t="s">
        <v>83</v>
      </c>
      <c r="M357" s="2" t="s">
        <v>83</v>
      </c>
      <c r="N357" s="2" t="str" cm="1">
        <f t="array" ref="N357">_xlfn.IFS(Tabela1[[#This Row],[qtde_]]="N/A", "N/A",Tabela1[[#This Row],[qtde_]]&lt;11,"BAIXO",Tabela1[[#This Row],[qtde_]]&lt;26,"MÉDIO",Tabela1[[#This Row],[qtde_]]&gt;=26,"ALTO")</f>
        <v>N/A</v>
      </c>
      <c r="O357" s="12" t="str">
        <f>IF(AND(Tabela1[[#This Row],[nivel_risco]]="ALTO",Tabela1[[#This Row],[flag_inadimplente]] = "Sim"),"negada","aprovada")</f>
        <v>aprovada</v>
      </c>
      <c r="P357" s="12" t="str">
        <f>IF(AND(Tabela1[[#This Row],[credito_tomado]]&gt;50000,Tabela1[[#This Row],[flag_inadimplente]]="Sim"),"negada","aprovada")</f>
        <v>aprovada</v>
      </c>
      <c r="Q357" s="6">
        <v>14600</v>
      </c>
      <c r="R357" s="12" t="str" cm="1">
        <f t="array" ref="R35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58" spans="1:18" ht="15.75" customHeight="1" x14ac:dyDescent="0.2">
      <c r="A358" s="2" t="s">
        <v>80</v>
      </c>
      <c r="B358" s="7" t="s">
        <v>717</v>
      </c>
      <c r="C358" s="1" t="s">
        <v>718</v>
      </c>
      <c r="D358" s="1" t="str">
        <f>TEXT(C358,"000\.000\.000\-00")</f>
        <v>000.000.125-00</v>
      </c>
      <c r="E358" s="2">
        <v>23</v>
      </c>
      <c r="F358" s="3">
        <v>37627</v>
      </c>
      <c r="G358" s="2" t="s">
        <v>153</v>
      </c>
      <c r="H358" s="7" t="s">
        <v>133</v>
      </c>
      <c r="I358" s="7" t="str">
        <f>PROPER(Tabela1[[#This Row],[regiao]])</f>
        <v>Terras Fluviais</v>
      </c>
      <c r="J358" s="8" t="s">
        <v>83</v>
      </c>
      <c r="K358" s="9">
        <v>69000</v>
      </c>
      <c r="L358" s="2" t="s">
        <v>86</v>
      </c>
      <c r="M358" s="2">
        <v>20</v>
      </c>
      <c r="N358" s="2" t="str" cm="1">
        <f t="array" ref="N358">_xlfn.IFS(Tabela1[[#This Row],[qtde_]]="N/A", "N/A",Tabela1[[#This Row],[qtde_]]&lt;11,"BAIXO",Tabela1[[#This Row],[qtde_]]&lt;26,"MÉDIO",Tabela1[[#This Row],[qtde_]]&gt;=26,"ALTO")</f>
        <v>MÉDIO</v>
      </c>
      <c r="O358" s="12" t="str">
        <f>IF(AND(Tabela1[[#This Row],[nivel_risco]]="ALTO",Tabela1[[#This Row],[flag_inadimplente]] = "Sim"),"negada","aprovada")</f>
        <v>aprovada</v>
      </c>
      <c r="P358" s="12" t="str">
        <f>IF(AND(Tabela1[[#This Row],[credito_tomado]]&gt;50000,Tabela1[[#This Row],[flag_inadimplente]]="Sim"),"negada","aprovada")</f>
        <v>aprovada</v>
      </c>
      <c r="Q358" s="6">
        <v>69000</v>
      </c>
      <c r="R358" s="12" cm="1">
        <f t="array" ref="R35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5520</v>
      </c>
    </row>
    <row r="359" spans="1:18" ht="15.75" customHeight="1" x14ac:dyDescent="0.2">
      <c r="A359" s="2" t="s">
        <v>96</v>
      </c>
      <c r="B359" s="7" t="s">
        <v>551</v>
      </c>
      <c r="C359" s="1" t="s">
        <v>719</v>
      </c>
      <c r="D359" s="1" t="str">
        <f>TEXT(C359,"000\.000\.000\-00")</f>
        <v>000.000.346-00</v>
      </c>
      <c r="E359" s="2">
        <v>62</v>
      </c>
      <c r="F359" s="3">
        <v>23259</v>
      </c>
      <c r="G359" s="2" t="s">
        <v>215</v>
      </c>
      <c r="H359" s="7" t="s">
        <v>151</v>
      </c>
      <c r="I359" s="7" t="str">
        <f>PROPER(Tabela1[[#This Row],[regiao]])</f>
        <v>Terras Da Coroa</v>
      </c>
      <c r="J359" s="8" t="s">
        <v>83</v>
      </c>
      <c r="K359" s="9">
        <v>0</v>
      </c>
      <c r="L359" s="2" t="s">
        <v>101</v>
      </c>
      <c r="M359" s="2">
        <v>1</v>
      </c>
      <c r="N359" s="2" t="str" cm="1">
        <f t="array" ref="N359">_xlfn.IFS(Tabela1[[#This Row],[qtde_]]="N/A", "N/A",Tabela1[[#This Row],[qtde_]]&lt;11,"BAIXO",Tabela1[[#This Row],[qtde_]]&lt;26,"MÉDIO",Tabela1[[#This Row],[qtde_]]&gt;=26,"ALTO")</f>
        <v>BAIXO</v>
      </c>
      <c r="O359" s="12" t="str">
        <f>IF(AND(Tabela1[[#This Row],[nivel_risco]]="ALTO",Tabela1[[#This Row],[flag_inadimplente]] = "Sim"),"negada","aprovada")</f>
        <v>aprovada</v>
      </c>
      <c r="P359" s="12" t="str">
        <f>IF(AND(Tabela1[[#This Row],[credito_tomado]]&gt;50000,Tabela1[[#This Row],[flag_inadimplente]]="Sim"),"negada","aprovada")</f>
        <v>aprovada</v>
      </c>
      <c r="Q359" s="6">
        <v>12000</v>
      </c>
      <c r="R359" s="12" t="e" cm="1">
        <f t="array" ref="R35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60" spans="1:18" ht="15.75" customHeight="1" x14ac:dyDescent="0.2">
      <c r="A360" s="2" t="s">
        <v>80</v>
      </c>
      <c r="B360" s="7" t="s">
        <v>720</v>
      </c>
      <c r="C360" s="1" t="s">
        <v>527</v>
      </c>
      <c r="D360" s="1" t="str">
        <f>TEXT(C360,"000\.000\.000\-00")</f>
        <v>000.000.301-00</v>
      </c>
      <c r="E360" s="2">
        <v>42</v>
      </c>
      <c r="F360" s="3">
        <v>30642</v>
      </c>
      <c r="G360" s="2" t="s">
        <v>115</v>
      </c>
      <c r="H360" s="7" t="s">
        <v>115</v>
      </c>
      <c r="I360" s="7" t="str">
        <f>PROPER(Tabela1[[#This Row],[regiao]])</f>
        <v>Dorne</v>
      </c>
      <c r="J360" s="8" t="s">
        <v>83</v>
      </c>
      <c r="K360" s="9">
        <v>19500</v>
      </c>
      <c r="L360" s="2" t="s">
        <v>86</v>
      </c>
      <c r="M360" s="2">
        <v>42</v>
      </c>
      <c r="N360" s="2" t="str" cm="1">
        <f t="array" ref="N360">_xlfn.IFS(Tabela1[[#This Row],[qtde_]]="N/A", "N/A",Tabela1[[#This Row],[qtde_]]&lt;11,"BAIXO",Tabela1[[#This Row],[qtde_]]&lt;26,"MÉDIO",Tabela1[[#This Row],[qtde_]]&gt;=26,"ALTO")</f>
        <v>ALTO</v>
      </c>
      <c r="O360" s="12" t="str">
        <f>IF(AND(Tabela1[[#This Row],[nivel_risco]]="ALTO",Tabela1[[#This Row],[flag_inadimplente]] = "Sim"),"negada","aprovada")</f>
        <v>aprovada</v>
      </c>
      <c r="P360" s="12" t="str">
        <f>IF(AND(Tabela1[[#This Row],[credito_tomado]]&gt;50000,Tabela1[[#This Row],[flag_inadimplente]]="Sim"),"negada","aprovada")</f>
        <v>aprovada</v>
      </c>
      <c r="Q360" s="6">
        <v>89500</v>
      </c>
      <c r="R360" s="12" cm="1">
        <f t="array" ref="R36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7160</v>
      </c>
    </row>
    <row r="361" spans="1:18" ht="15.75" customHeight="1" x14ac:dyDescent="0.2">
      <c r="A361" s="2" t="s">
        <v>80</v>
      </c>
      <c r="B361" s="7" t="s">
        <v>142</v>
      </c>
      <c r="C361" s="1">
        <v>16100</v>
      </c>
      <c r="D361" s="1" t="str">
        <f>TEXT(C361,"000\.000\.000\-00")</f>
        <v>000.000.161-00</v>
      </c>
      <c r="E361" s="2">
        <v>57</v>
      </c>
      <c r="F361" s="3" t="s">
        <v>83</v>
      </c>
      <c r="G361" s="2" t="s">
        <v>118</v>
      </c>
      <c r="H361" s="7" t="s">
        <v>201</v>
      </c>
      <c r="I361" s="7" t="str">
        <f>PROPER(Tabela1[[#This Row],[regiao]])</f>
        <v>Oeste</v>
      </c>
      <c r="J361" s="8" t="s">
        <v>83</v>
      </c>
      <c r="K361" s="9" t="s">
        <v>83</v>
      </c>
      <c r="L361" s="2" t="s">
        <v>101</v>
      </c>
      <c r="M361" s="2">
        <v>28</v>
      </c>
      <c r="N361" s="2" t="str" cm="1">
        <f t="array" ref="N361">_xlfn.IFS(Tabela1[[#This Row],[qtde_]]="N/A", "N/A",Tabela1[[#This Row],[qtde_]]&lt;11,"BAIXO",Tabela1[[#This Row],[qtde_]]&lt;26,"MÉDIO",Tabela1[[#This Row],[qtde_]]&gt;=26,"ALTO")</f>
        <v>ALTO</v>
      </c>
      <c r="O361" s="12" t="str">
        <f>IF(AND(Tabela1[[#This Row],[nivel_risco]]="ALTO",Tabela1[[#This Row],[flag_inadimplente]] = "Sim"),"negada","aprovada")</f>
        <v>negada</v>
      </c>
      <c r="P361" s="12" t="str">
        <f>IF(AND(Tabela1[[#This Row],[credito_tomado]]&gt;50000,Tabela1[[#This Row],[flag_inadimplente]]="Sim"),"negada","aprovada")</f>
        <v>negada</v>
      </c>
      <c r="Q361" s="6">
        <v>13000</v>
      </c>
      <c r="R361" s="12" t="str" cm="1">
        <f t="array" ref="R36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62" spans="1:18" ht="15.75" customHeight="1" x14ac:dyDescent="0.2">
      <c r="A362" s="2" t="s">
        <v>80</v>
      </c>
      <c r="B362" s="7" t="s">
        <v>612</v>
      </c>
      <c r="C362" s="1" t="s">
        <v>721</v>
      </c>
      <c r="D362" s="1" t="str">
        <f>TEXT(C362,"000\.000\.000\-00")</f>
        <v>000.000.135-00</v>
      </c>
      <c r="E362" s="2" t="s">
        <v>83</v>
      </c>
      <c r="F362" s="3">
        <v>34411</v>
      </c>
      <c r="G362" s="2" t="s">
        <v>115</v>
      </c>
      <c r="H362" s="7" t="s">
        <v>115</v>
      </c>
      <c r="I362" s="7" t="str">
        <f>PROPER(Tabela1[[#This Row],[regiao]])</f>
        <v>Dorne</v>
      </c>
      <c r="J362" s="8" t="s">
        <v>83</v>
      </c>
      <c r="K362" s="9">
        <v>0</v>
      </c>
      <c r="L362" s="2" t="s">
        <v>86</v>
      </c>
      <c r="M362" s="2">
        <v>20</v>
      </c>
      <c r="N362" s="2" t="str" cm="1">
        <f t="array" ref="N362">_xlfn.IFS(Tabela1[[#This Row],[qtde_]]="N/A", "N/A",Tabela1[[#This Row],[qtde_]]&lt;11,"BAIXO",Tabela1[[#This Row],[qtde_]]&lt;26,"MÉDIO",Tabela1[[#This Row],[qtde_]]&gt;=26,"ALTO")</f>
        <v>MÉDIO</v>
      </c>
      <c r="O362" s="12" t="str">
        <f>IF(AND(Tabela1[[#This Row],[nivel_risco]]="ALTO",Tabela1[[#This Row],[flag_inadimplente]] = "Sim"),"negada","aprovada")</f>
        <v>aprovada</v>
      </c>
      <c r="P362" s="12" t="str">
        <f>IF(AND(Tabela1[[#This Row],[credito_tomado]]&gt;50000,Tabela1[[#This Row],[flag_inadimplente]]="Sim"),"negada","aprovada")</f>
        <v>aprovada</v>
      </c>
      <c r="Q362" s="6">
        <v>42000</v>
      </c>
      <c r="R362" s="12" cm="1">
        <f t="array" ref="R36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3360</v>
      </c>
    </row>
    <row r="363" spans="1:18" ht="15.75" customHeight="1" x14ac:dyDescent="0.2">
      <c r="A363" s="2" t="s">
        <v>80</v>
      </c>
      <c r="B363" s="7" t="s">
        <v>722</v>
      </c>
      <c r="C363" s="1" t="s">
        <v>723</v>
      </c>
      <c r="D363" s="1" t="str">
        <f>TEXT(C363,"000\.000\.000\-00")</f>
        <v>000.000.218-00</v>
      </c>
      <c r="E363" s="2">
        <v>62</v>
      </c>
      <c r="F363" s="3">
        <v>23488</v>
      </c>
      <c r="G363" s="2" t="s">
        <v>144</v>
      </c>
      <c r="H363" s="7" t="s">
        <v>145</v>
      </c>
      <c r="I363" s="7" t="str">
        <f>PROPER(Tabela1[[#This Row],[regiao]])</f>
        <v>Vale</v>
      </c>
      <c r="J363" s="8" t="s">
        <v>83</v>
      </c>
      <c r="K363" s="9">
        <v>0</v>
      </c>
      <c r="L363" s="2" t="s">
        <v>86</v>
      </c>
      <c r="M363" s="2">
        <v>38</v>
      </c>
      <c r="N363" s="2" t="str" cm="1">
        <f t="array" ref="N363">_xlfn.IFS(Tabela1[[#This Row],[qtde_]]="N/A", "N/A",Tabela1[[#This Row],[qtde_]]&lt;11,"BAIXO",Tabela1[[#This Row],[qtde_]]&lt;26,"MÉDIO",Tabela1[[#This Row],[qtde_]]&gt;=26,"ALTO")</f>
        <v>ALTO</v>
      </c>
      <c r="O363" s="12" t="str">
        <f>IF(AND(Tabela1[[#This Row],[nivel_risco]]="ALTO",Tabela1[[#This Row],[flag_inadimplente]] = "Sim"),"negada","aprovada")</f>
        <v>aprovada</v>
      </c>
      <c r="P363" s="12" t="str">
        <f>IF(AND(Tabela1[[#This Row],[credito_tomado]]&gt;50000,Tabela1[[#This Row],[flag_inadimplente]]="Sim"),"negada","aprovada")</f>
        <v>aprovada</v>
      </c>
      <c r="Q363" s="6">
        <v>72000</v>
      </c>
      <c r="R363" s="12" cm="1">
        <f t="array" ref="R36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5760</v>
      </c>
    </row>
    <row r="364" spans="1:18" ht="15.75" customHeight="1" x14ac:dyDescent="0.2">
      <c r="A364" s="2" t="s">
        <v>80</v>
      </c>
      <c r="B364" s="7" t="s">
        <v>724</v>
      </c>
      <c r="C364" s="1" t="s">
        <v>725</v>
      </c>
      <c r="D364" s="1" t="str">
        <f>TEXT(C364,"000\.000\.000\-00")</f>
        <v>000.000.310-00</v>
      </c>
      <c r="E364" s="2">
        <v>25</v>
      </c>
      <c r="F364" s="3">
        <v>37137</v>
      </c>
      <c r="G364" s="2" t="s">
        <v>144</v>
      </c>
      <c r="H364" s="7" t="s">
        <v>145</v>
      </c>
      <c r="I364" s="7" t="str">
        <f>PROPER(Tabela1[[#This Row],[regiao]])</f>
        <v>Vale</v>
      </c>
      <c r="J364" s="8" t="s">
        <v>83</v>
      </c>
      <c r="K364" s="9">
        <v>21000</v>
      </c>
      <c r="L364" s="2" t="s">
        <v>86</v>
      </c>
      <c r="M364" s="2">
        <v>34</v>
      </c>
      <c r="N364" s="2" t="str" cm="1">
        <f t="array" ref="N364">_xlfn.IFS(Tabela1[[#This Row],[qtde_]]="N/A", "N/A",Tabela1[[#This Row],[qtde_]]&lt;11,"BAIXO",Tabela1[[#This Row],[qtde_]]&lt;26,"MÉDIO",Tabela1[[#This Row],[qtde_]]&gt;=26,"ALTO")</f>
        <v>ALTO</v>
      </c>
      <c r="O364" s="12" t="str">
        <f>IF(AND(Tabela1[[#This Row],[nivel_risco]]="ALTO",Tabela1[[#This Row],[flag_inadimplente]] = "Sim"),"negada","aprovada")</f>
        <v>aprovada</v>
      </c>
      <c r="P364" s="12" t="str">
        <f>IF(AND(Tabela1[[#This Row],[credito_tomado]]&gt;50000,Tabela1[[#This Row],[flag_inadimplente]]="Sim"),"negada","aprovada")</f>
        <v>aprovada</v>
      </c>
      <c r="Q364" s="6">
        <v>7500</v>
      </c>
      <c r="R364" s="12" cm="1">
        <f t="array" ref="R36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600</v>
      </c>
    </row>
    <row r="365" spans="1:18" ht="15.75" customHeight="1" x14ac:dyDescent="0.2">
      <c r="A365" s="2" t="s">
        <v>80</v>
      </c>
      <c r="B365" s="7" t="s">
        <v>726</v>
      </c>
      <c r="C365" s="1">
        <v>20900</v>
      </c>
      <c r="D365" s="1" t="str">
        <f>TEXT(C365,"000\.000\.000\-00")</f>
        <v>000.000.209-00</v>
      </c>
      <c r="E365" s="2">
        <v>33</v>
      </c>
      <c r="F365" s="3">
        <v>34021</v>
      </c>
      <c r="G365" s="2" t="s">
        <v>104</v>
      </c>
      <c r="H365" s="7" t="s">
        <v>105</v>
      </c>
      <c r="I365" s="7" t="str">
        <f>PROPER(Tabela1[[#This Row],[regiao]])</f>
        <v>Terras Da Tempestade</v>
      </c>
      <c r="J365" s="8" t="s">
        <v>83</v>
      </c>
      <c r="K365" s="9">
        <v>73500</v>
      </c>
      <c r="L365" s="2" t="s">
        <v>86</v>
      </c>
      <c r="M365" s="2">
        <v>33</v>
      </c>
      <c r="N365" s="2" t="str" cm="1">
        <f t="array" ref="N365">_xlfn.IFS(Tabela1[[#This Row],[qtde_]]="N/A", "N/A",Tabela1[[#This Row],[qtde_]]&lt;11,"BAIXO",Tabela1[[#This Row],[qtde_]]&lt;26,"MÉDIO",Tabela1[[#This Row],[qtde_]]&gt;=26,"ALTO")</f>
        <v>ALTO</v>
      </c>
      <c r="O365" s="12" t="str">
        <f>IF(AND(Tabela1[[#This Row],[nivel_risco]]="ALTO",Tabela1[[#This Row],[flag_inadimplente]] = "Sim"),"negada","aprovada")</f>
        <v>aprovada</v>
      </c>
      <c r="P365" s="12" t="str">
        <f>IF(AND(Tabela1[[#This Row],[credito_tomado]]&gt;50000,Tabela1[[#This Row],[flag_inadimplente]]="Sim"),"negada","aprovada")</f>
        <v>aprovada</v>
      </c>
      <c r="Q365" s="6">
        <v>95000</v>
      </c>
      <c r="R365" s="12" cm="1">
        <f t="array" ref="R36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7600</v>
      </c>
    </row>
    <row r="366" spans="1:18" ht="15.75" customHeight="1" x14ac:dyDescent="0.2">
      <c r="A366" s="2" t="s">
        <v>96</v>
      </c>
      <c r="B366" s="7" t="s">
        <v>727</v>
      </c>
      <c r="C366" s="1" t="s">
        <v>728</v>
      </c>
      <c r="D366" s="1" t="str">
        <f>TEXT(C366,"000\.000\.000\-00")</f>
        <v>000.000.291-00</v>
      </c>
      <c r="E366" s="2">
        <v>44</v>
      </c>
      <c r="F366" s="3">
        <v>29948</v>
      </c>
      <c r="G366" s="2" t="s">
        <v>115</v>
      </c>
      <c r="H366" s="7" t="s">
        <v>115</v>
      </c>
      <c r="I366" s="7" t="str">
        <f>PROPER(Tabela1[[#This Row],[regiao]])</f>
        <v>Dorne</v>
      </c>
      <c r="J366" s="8" t="s">
        <v>83</v>
      </c>
      <c r="K366" s="9">
        <v>0</v>
      </c>
      <c r="L366" s="2" t="s">
        <v>86</v>
      </c>
      <c r="M366" s="2">
        <v>4</v>
      </c>
      <c r="N366" s="2" t="str" cm="1">
        <f t="array" ref="N366">_xlfn.IFS(Tabela1[[#This Row],[qtde_]]="N/A", "N/A",Tabela1[[#This Row],[qtde_]]&lt;11,"BAIXO",Tabela1[[#This Row],[qtde_]]&lt;26,"MÉDIO",Tabela1[[#This Row],[qtde_]]&gt;=26,"ALTO")</f>
        <v>BAIXO</v>
      </c>
      <c r="O366" s="12" t="str">
        <f>IF(AND(Tabela1[[#This Row],[nivel_risco]]="ALTO",Tabela1[[#This Row],[flag_inadimplente]] = "Sim"),"negada","aprovada")</f>
        <v>aprovada</v>
      </c>
      <c r="P366" s="12" t="str">
        <f>IF(AND(Tabela1[[#This Row],[credito_tomado]]&gt;50000,Tabela1[[#This Row],[flag_inadimplente]]="Sim"),"negada","aprovada")</f>
        <v>aprovada</v>
      </c>
      <c r="Q366" s="6">
        <v>80000</v>
      </c>
      <c r="R366" s="12" t="e" cm="1">
        <f t="array" ref="R36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67" spans="1:18" ht="15.75" customHeight="1" x14ac:dyDescent="0.2">
      <c r="A367" s="2" t="s">
        <v>96</v>
      </c>
      <c r="B367" s="7" t="s">
        <v>729</v>
      </c>
      <c r="C367" s="1" t="s">
        <v>730</v>
      </c>
      <c r="D367" s="1" t="str">
        <f>TEXT(C367,"000\.000\.000\-00")</f>
        <v>000.000.238-00</v>
      </c>
      <c r="E367" s="2">
        <v>55</v>
      </c>
      <c r="F367" s="3">
        <v>25848</v>
      </c>
      <c r="G367" s="2" t="s">
        <v>138</v>
      </c>
      <c r="H367" s="7" t="s">
        <v>139</v>
      </c>
      <c r="I367" s="7" t="str">
        <f>PROPER(Tabela1[[#This Row],[regiao]])</f>
        <v>Essos</v>
      </c>
      <c r="J367" s="8" t="s">
        <v>83</v>
      </c>
      <c r="K367" s="9">
        <v>5000</v>
      </c>
      <c r="L367" s="2" t="s">
        <v>86</v>
      </c>
      <c r="M367" s="2">
        <v>8</v>
      </c>
      <c r="N367" s="2" t="str" cm="1">
        <f t="array" ref="N367">_xlfn.IFS(Tabela1[[#This Row],[qtde_]]="N/A", "N/A",Tabela1[[#This Row],[qtde_]]&lt;11,"BAIXO",Tabela1[[#This Row],[qtde_]]&lt;26,"MÉDIO",Tabela1[[#This Row],[qtde_]]&gt;=26,"ALTO")</f>
        <v>BAIXO</v>
      </c>
      <c r="O367" s="12" t="str">
        <f>IF(AND(Tabela1[[#This Row],[nivel_risco]]="ALTO",Tabela1[[#This Row],[flag_inadimplente]] = "Sim"),"negada","aprovada")</f>
        <v>aprovada</v>
      </c>
      <c r="P367" s="12" t="str">
        <f>IF(AND(Tabela1[[#This Row],[credito_tomado]]&gt;50000,Tabela1[[#This Row],[flag_inadimplente]]="Sim"),"negada","aprovada")</f>
        <v>aprovada</v>
      </c>
      <c r="Q367" s="6">
        <v>11000</v>
      </c>
      <c r="R367" s="12" t="e" cm="1">
        <f t="array" ref="R36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68" spans="1:18" ht="15.75" customHeight="1" x14ac:dyDescent="0.2">
      <c r="A368" s="2" t="s">
        <v>96</v>
      </c>
      <c r="B368" s="7" t="s">
        <v>252</v>
      </c>
      <c r="C368" s="1">
        <v>20300</v>
      </c>
      <c r="D368" s="1" t="str">
        <f>TEXT(C368,"000\.000\.000\-00")</f>
        <v>000.000.203-00</v>
      </c>
      <c r="E368" s="2">
        <v>46</v>
      </c>
      <c r="F368" s="3">
        <v>29427</v>
      </c>
      <c r="G368" s="2" t="s">
        <v>132</v>
      </c>
      <c r="H368" s="7" t="s">
        <v>133</v>
      </c>
      <c r="I368" s="7" t="str">
        <f>PROPER(Tabela1[[#This Row],[regiao]])</f>
        <v>Terras Fluviais</v>
      </c>
      <c r="J368" s="8" t="s">
        <v>83</v>
      </c>
      <c r="K368" s="9">
        <v>37500</v>
      </c>
      <c r="L368" s="2" t="s">
        <v>86</v>
      </c>
      <c r="M368" s="2" t="s">
        <v>83</v>
      </c>
      <c r="N368" s="2" t="str" cm="1">
        <f t="array" ref="N368">_xlfn.IFS(Tabela1[[#This Row],[qtde_]]="N/A", "N/A",Tabela1[[#This Row],[qtde_]]&lt;11,"BAIXO",Tabela1[[#This Row],[qtde_]]&lt;26,"MÉDIO",Tabela1[[#This Row],[qtde_]]&gt;=26,"ALTO")</f>
        <v>N/A</v>
      </c>
      <c r="O368" s="12" t="str">
        <f>IF(AND(Tabela1[[#This Row],[nivel_risco]]="ALTO",Tabela1[[#This Row],[flag_inadimplente]] = "Sim"),"negada","aprovada")</f>
        <v>aprovada</v>
      </c>
      <c r="P368" s="12" t="str">
        <f>IF(AND(Tabela1[[#This Row],[credito_tomado]]&gt;50000,Tabela1[[#This Row],[flag_inadimplente]]="Sim"),"negada","aprovada")</f>
        <v>aprovada</v>
      </c>
      <c r="Q368" s="6">
        <v>77000</v>
      </c>
      <c r="R368" s="12" t="str" cm="1">
        <f t="array" ref="R36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69" spans="1:18" ht="15.75" customHeight="1" x14ac:dyDescent="0.2">
      <c r="A369" s="2" t="s">
        <v>96</v>
      </c>
      <c r="B369" s="7" t="s">
        <v>252</v>
      </c>
      <c r="C369" s="1">
        <v>20300</v>
      </c>
      <c r="D369" s="1" t="str">
        <f>TEXT(C369,"000\.000\.000\-00")</f>
        <v>000.000.203-00</v>
      </c>
      <c r="E369" s="2">
        <v>46</v>
      </c>
      <c r="F369" s="3">
        <v>29427</v>
      </c>
      <c r="G369" s="2" t="s">
        <v>132</v>
      </c>
      <c r="H369" s="7" t="s">
        <v>133</v>
      </c>
      <c r="I369" s="7" t="str">
        <f>PROPER(Tabela1[[#This Row],[regiao]])</f>
        <v>Terras Fluviais</v>
      </c>
      <c r="J369" s="8" t="s">
        <v>83</v>
      </c>
      <c r="K369" s="9">
        <v>37500</v>
      </c>
      <c r="L369" s="2" t="s">
        <v>86</v>
      </c>
      <c r="M369" s="2" t="s">
        <v>83</v>
      </c>
      <c r="N369" s="2" t="str" cm="1">
        <f t="array" ref="N369">_xlfn.IFS(Tabela1[[#This Row],[qtde_]]="N/A", "N/A",Tabela1[[#This Row],[qtde_]]&lt;11,"BAIXO",Tabela1[[#This Row],[qtde_]]&lt;26,"MÉDIO",Tabela1[[#This Row],[qtde_]]&gt;=26,"ALTO")</f>
        <v>N/A</v>
      </c>
      <c r="O369" s="12" t="str">
        <f>IF(AND(Tabela1[[#This Row],[nivel_risco]]="ALTO",Tabela1[[#This Row],[flag_inadimplente]] = "Sim"),"negada","aprovada")</f>
        <v>aprovada</v>
      </c>
      <c r="P369" s="12" t="str">
        <f>IF(AND(Tabela1[[#This Row],[credito_tomado]]&gt;50000,Tabela1[[#This Row],[flag_inadimplente]]="Sim"),"negada","aprovada")</f>
        <v>aprovada</v>
      </c>
      <c r="Q369" s="6">
        <v>21500</v>
      </c>
      <c r="R369" s="12" t="str" cm="1">
        <f t="array" ref="R36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0" spans="1:18" ht="15.75" customHeight="1" x14ac:dyDescent="0.2">
      <c r="A370" s="2" t="s">
        <v>80</v>
      </c>
      <c r="B370" s="7" t="s">
        <v>731</v>
      </c>
      <c r="C370" s="1" t="s">
        <v>732</v>
      </c>
      <c r="D370" s="1" t="str">
        <f>TEXT(C370,"000\.000\.000\-00")</f>
        <v>000.000.269-00</v>
      </c>
      <c r="E370" s="2">
        <v>53</v>
      </c>
      <c r="F370" s="3">
        <v>26790</v>
      </c>
      <c r="G370" s="2" t="s">
        <v>124</v>
      </c>
      <c r="H370" s="7" t="s">
        <v>139</v>
      </c>
      <c r="I370" s="7" t="str">
        <f>PROPER(Tabela1[[#This Row],[regiao]])</f>
        <v>Essos</v>
      </c>
      <c r="J370" s="8" t="s">
        <v>83</v>
      </c>
      <c r="K370" s="9">
        <v>21500</v>
      </c>
      <c r="L370" s="2" t="s">
        <v>101</v>
      </c>
      <c r="M370" s="2">
        <v>44</v>
      </c>
      <c r="N370" s="2" t="str" cm="1">
        <f t="array" ref="N370">_xlfn.IFS(Tabela1[[#This Row],[qtde_]]="N/A", "N/A",Tabela1[[#This Row],[qtde_]]&lt;11,"BAIXO",Tabela1[[#This Row],[qtde_]]&lt;26,"MÉDIO",Tabela1[[#This Row],[qtde_]]&gt;=26,"ALTO")</f>
        <v>ALTO</v>
      </c>
      <c r="O370" s="12" t="str">
        <f>IF(AND(Tabela1[[#This Row],[nivel_risco]]="ALTO",Tabela1[[#This Row],[flag_inadimplente]] = "Sim"),"negada","aprovada")</f>
        <v>negada</v>
      </c>
      <c r="P370" s="12" t="str">
        <f>IF(AND(Tabela1[[#This Row],[credito_tomado]]&gt;50000,Tabela1[[#This Row],[flag_inadimplente]]="Sim"),"negada","aprovada")</f>
        <v>aprovada</v>
      </c>
      <c r="Q370" s="6">
        <v>3500</v>
      </c>
      <c r="R370" s="12" t="e" cm="1">
        <f t="array" ref="R37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#N/A</v>
      </c>
    </row>
    <row r="371" spans="1:18" ht="15.75" customHeight="1" x14ac:dyDescent="0.2">
      <c r="A371" s="2" t="s">
        <v>80</v>
      </c>
      <c r="B371" s="7" t="s">
        <v>733</v>
      </c>
      <c r="D371" s="1" t="str">
        <f>TEXT(C371,"000\.000\.000\-00")</f>
        <v>000.000.000-00</v>
      </c>
      <c r="E371" s="4">
        <v>9</v>
      </c>
      <c r="F371" s="11">
        <v>34914</v>
      </c>
      <c r="G371" s="2" t="s">
        <v>83</v>
      </c>
      <c r="H371" s="7" t="s">
        <v>734</v>
      </c>
      <c r="I371" s="7" t="str">
        <f>PROPER(Tabela1[[#This Row],[regiao]])</f>
        <v xml:space="preserve"> Py</v>
      </c>
      <c r="J371" s="8" t="s">
        <v>83</v>
      </c>
      <c r="K371" s="9" t="s">
        <v>83</v>
      </c>
      <c r="L371" s="2" t="s">
        <v>83</v>
      </c>
      <c r="M371" s="2">
        <v>31</v>
      </c>
      <c r="N371" s="2" t="str" cm="1">
        <f t="array" ref="N371">_xlfn.IFS(Tabela1[[#This Row],[qtde_]]="N/A", "N/A",Tabela1[[#This Row],[qtde_]]&lt;11,"BAIXO",Tabela1[[#This Row],[qtde_]]&lt;26,"MÉDIO",Tabela1[[#This Row],[qtde_]]&gt;=26,"ALTO")</f>
        <v>ALTO</v>
      </c>
      <c r="O371" s="12" t="str">
        <f>IF(AND(Tabela1[[#This Row],[nivel_risco]]="ALTO",Tabela1[[#This Row],[flag_inadimplente]] = "Sim"),"negada","aprovada")</f>
        <v>aprovada</v>
      </c>
      <c r="P371" s="12" t="str">
        <f>IF(AND(Tabela1[[#This Row],[credito_tomado]]&gt;50000,Tabela1[[#This Row],[flag_inadimplente]]="Sim"),"negada","aprovada")</f>
        <v>aprovada</v>
      </c>
      <c r="Q371" s="6">
        <v>20800</v>
      </c>
      <c r="R371" s="12" t="str" cm="1">
        <f t="array" ref="R37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2" spans="1:18" ht="15.75" customHeight="1" x14ac:dyDescent="0.2">
      <c r="A372" s="2" t="s">
        <v>80</v>
      </c>
      <c r="B372" s="7" t="s">
        <v>735</v>
      </c>
      <c r="D372" s="1" t="str">
        <f>TEXT(C372,"000\.000\.000\-00")</f>
        <v>000.000.000-00</v>
      </c>
      <c r="E372" s="4">
        <v>69</v>
      </c>
      <c r="F372" s="11">
        <v>20681</v>
      </c>
      <c r="G372" s="7" t="s">
        <v>736</v>
      </c>
      <c r="H372" s="9" t="s">
        <v>139</v>
      </c>
      <c r="I372" s="9" t="str">
        <f>PROPER(Tabela1[[#This Row],[regiao]])</f>
        <v>Essos</v>
      </c>
      <c r="J372" s="8" t="s">
        <v>83</v>
      </c>
      <c r="K372" s="9">
        <v>15800</v>
      </c>
      <c r="L372" s="2" t="s">
        <v>83</v>
      </c>
      <c r="M372" s="2">
        <v>70</v>
      </c>
      <c r="N372" s="2" t="str" cm="1">
        <f t="array" ref="N372">_xlfn.IFS(Tabela1[[#This Row],[qtde_]]="N/A", "N/A",Tabela1[[#This Row],[qtde_]]&lt;11,"BAIXO",Tabela1[[#This Row],[qtde_]]&lt;26,"MÉDIO",Tabela1[[#This Row],[qtde_]]&gt;=26,"ALTO")</f>
        <v>ALTO</v>
      </c>
      <c r="O372" s="12" t="str">
        <f>IF(AND(Tabela1[[#This Row],[nivel_risco]]="ALTO",Tabela1[[#This Row],[flag_inadimplente]] = "Sim"),"negada","aprovada")</f>
        <v>aprovada</v>
      </c>
      <c r="P372" s="12" t="str">
        <f>IF(AND(Tabela1[[#This Row],[credito_tomado]]&gt;50000,Tabela1[[#This Row],[flag_inadimplente]]="Sim"),"negada","aprovada")</f>
        <v>aprovada</v>
      </c>
      <c r="Q372" s="6">
        <v>17500</v>
      </c>
      <c r="R372" s="12" t="str" cm="1">
        <f t="array" ref="R37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3" spans="1:18" ht="15.75" customHeight="1" x14ac:dyDescent="0.2">
      <c r="A373" s="2" t="s">
        <v>96</v>
      </c>
      <c r="B373" s="7" t="s">
        <v>737</v>
      </c>
      <c r="C373" s="1" t="s">
        <v>738</v>
      </c>
      <c r="D373" s="1" t="str">
        <f>TEXT(C373,"000\.000\.000\-00")</f>
        <v>000.000.068-00</v>
      </c>
      <c r="E373" s="2" t="s">
        <v>83</v>
      </c>
      <c r="F373" s="11">
        <v>25147</v>
      </c>
      <c r="G373" s="2" t="s">
        <v>83</v>
      </c>
      <c r="H373" s="7" t="s">
        <v>739</v>
      </c>
      <c r="I373" s="7" t="str">
        <f>PROPER(Tabela1[[#This Row],[regiao]])</f>
        <v xml:space="preserve"> Monte Chifre</v>
      </c>
      <c r="J373" s="8" t="s">
        <v>83</v>
      </c>
      <c r="K373" s="9" t="s">
        <v>83</v>
      </c>
      <c r="L373" s="2" t="s">
        <v>83</v>
      </c>
      <c r="M373" s="2">
        <v>57</v>
      </c>
      <c r="N373" s="2" t="str" cm="1">
        <f t="array" ref="N373">_xlfn.IFS(Tabela1[[#This Row],[qtde_]]="N/A", "N/A",Tabela1[[#This Row],[qtde_]]&lt;11,"BAIXO",Tabela1[[#This Row],[qtde_]]&lt;26,"MÉDIO",Tabela1[[#This Row],[qtde_]]&gt;=26,"ALTO")</f>
        <v>ALTO</v>
      </c>
      <c r="O373" s="12" t="str">
        <f>IF(AND(Tabela1[[#This Row],[nivel_risco]]="ALTO",Tabela1[[#This Row],[flag_inadimplente]] = "Sim"),"negada","aprovada")</f>
        <v>aprovada</v>
      </c>
      <c r="P373" s="12" t="str">
        <f>IF(AND(Tabela1[[#This Row],[credito_tomado]]&gt;50000,Tabela1[[#This Row],[flag_inadimplente]]="Sim"),"negada","aprovada")</f>
        <v>aprovada</v>
      </c>
      <c r="Q373" s="6">
        <v>26300</v>
      </c>
      <c r="R373" s="12" t="str" cm="1">
        <f t="array" ref="R37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4" spans="1:18" ht="15.75" customHeight="1" x14ac:dyDescent="0.2">
      <c r="A374" s="2" t="s">
        <v>80</v>
      </c>
      <c r="B374" s="7" t="s">
        <v>740</v>
      </c>
      <c r="C374" s="1" t="s">
        <v>741</v>
      </c>
      <c r="D374" s="1" t="str">
        <f>TEXT(C374,"000\.000\.000\-00")</f>
        <v>000.000.368-00</v>
      </c>
      <c r="E374" s="2">
        <v>50</v>
      </c>
      <c r="F374" s="3">
        <v>27729</v>
      </c>
      <c r="G374" s="2" t="s">
        <v>83</v>
      </c>
      <c r="H374" s="7" t="s">
        <v>742</v>
      </c>
      <c r="I374" s="7" t="str">
        <f>PROPER(Tabela1[[#This Row],[regiao]])</f>
        <v>Pedra Do Dragio</v>
      </c>
      <c r="J374" s="8" t="s">
        <v>83</v>
      </c>
      <c r="K374" s="9" t="s">
        <v>83</v>
      </c>
      <c r="L374" s="2" t="s">
        <v>83</v>
      </c>
      <c r="M374" s="2" t="s">
        <v>83</v>
      </c>
      <c r="N374" s="2" t="str" cm="1">
        <f t="array" ref="N374">_xlfn.IFS(Tabela1[[#This Row],[qtde_]]="N/A", "N/A",Tabela1[[#This Row],[qtde_]]&lt;11,"BAIXO",Tabela1[[#This Row],[qtde_]]&lt;26,"MÉDIO",Tabela1[[#This Row],[qtde_]]&gt;=26,"ALTO")</f>
        <v>N/A</v>
      </c>
      <c r="O374" s="12" t="str">
        <f>IF(AND(Tabela1[[#This Row],[nivel_risco]]="ALTO",Tabela1[[#This Row],[flag_inadimplente]] = "Sim"),"negada","aprovada")</f>
        <v>aprovada</v>
      </c>
      <c r="P374" s="12" t="str">
        <f>IF(AND(Tabela1[[#This Row],[credito_tomado]]&gt;50000,Tabela1[[#This Row],[flag_inadimplente]]="Sim"),"negada","aprovada")</f>
        <v>aprovada</v>
      </c>
      <c r="Q374" s="6">
        <v>22800</v>
      </c>
      <c r="R374" s="12" t="str" cm="1">
        <f t="array" ref="R37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5" spans="1:18" ht="15.75" customHeight="1" x14ac:dyDescent="0.2">
      <c r="A375" s="2" t="s">
        <v>96</v>
      </c>
      <c r="B375" s="7" t="s">
        <v>743</v>
      </c>
      <c r="C375" s="1" t="s">
        <v>587</v>
      </c>
      <c r="D375" s="1" t="str">
        <f>TEXT(C375,"000\.000\.000\-00")</f>
        <v>000.000.371-00</v>
      </c>
      <c r="E375" s="2">
        <v>68</v>
      </c>
      <c r="F375" s="11">
        <v>21190</v>
      </c>
      <c r="G375" s="7" t="s">
        <v>744</v>
      </c>
      <c r="I375" s="7" t="s">
        <v>83</v>
      </c>
      <c r="J375" s="8" t="s">
        <v>83</v>
      </c>
      <c r="K375" s="9" t="s">
        <v>83</v>
      </c>
      <c r="L375" s="9" t="s">
        <v>83</v>
      </c>
      <c r="M375" s="9" t="s">
        <v>83</v>
      </c>
      <c r="N375" s="2" t="str" cm="1">
        <f t="array" ref="N375">_xlfn.IFS(Tabela1[[#This Row],[qtde_]]="N/A", "N/A",Tabela1[[#This Row],[qtde_]]&lt;11,"BAIXO",Tabela1[[#This Row],[qtde_]]&lt;26,"MÉDIO",Tabela1[[#This Row],[qtde_]]&gt;=26,"ALTO")</f>
        <v>N/A</v>
      </c>
      <c r="O375" s="12" t="str">
        <f>IF(AND(Tabela1[[#This Row],[nivel_risco]]="ALTO",Tabela1[[#This Row],[flag_inadimplente]] = "Sim"),"negada","aprovada")</f>
        <v>aprovada</v>
      </c>
      <c r="P375" s="12" t="str">
        <f>IF(AND(Tabela1[[#This Row],[credito_tomado]]&gt;50000,Tabela1[[#This Row],[flag_inadimplente]]="Sim"),"negada","aprovada")</f>
        <v>aprovada</v>
      </c>
      <c r="Q375" s="6">
        <v>2800</v>
      </c>
      <c r="R375" s="12" t="str" cm="1">
        <f t="array" ref="R37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6" spans="1:18" ht="15.75" customHeight="1" x14ac:dyDescent="0.2">
      <c r="A376" s="2" t="s">
        <v>80</v>
      </c>
      <c r="B376" s="7" t="s">
        <v>745</v>
      </c>
      <c r="C376" s="1" t="s">
        <v>746</v>
      </c>
      <c r="D376" s="1" t="str">
        <f>TEXT(C376,"000\.000\.000\-00")</f>
        <v>000.000.029-00</v>
      </c>
      <c r="E376" s="2">
        <v>40</v>
      </c>
      <c r="F376" s="11">
        <v>31458</v>
      </c>
      <c r="G376" s="7" t="str">
        <f>PROPER(Tabela1[[#This Row],[regiao]])</f>
        <v xml:space="preserve"> Ilha Dos Ursos</v>
      </c>
      <c r="H376" s="7" t="s">
        <v>747</v>
      </c>
      <c r="I376" s="2" t="s">
        <v>113</v>
      </c>
      <c r="J376" s="8" t="s">
        <v>83</v>
      </c>
      <c r="K376" s="9" t="s">
        <v>83</v>
      </c>
      <c r="L376" s="2" t="s">
        <v>83</v>
      </c>
      <c r="M376" s="2" t="s">
        <v>83</v>
      </c>
      <c r="N376" s="2" t="str" cm="1">
        <f t="array" ref="N376">_xlfn.IFS(Tabela1[[#This Row],[qtde_]]="N/A", "N/A",Tabela1[[#This Row],[qtde_]]&lt;11,"BAIXO",Tabela1[[#This Row],[qtde_]]&lt;26,"MÉDIO",Tabela1[[#This Row],[qtde_]]&gt;=26,"ALTO")</f>
        <v>N/A</v>
      </c>
      <c r="O376" s="12" t="str">
        <f>IF(AND(Tabela1[[#This Row],[nivel_risco]]="ALTO",Tabela1[[#This Row],[flag_inadimplente]] = "Sim"),"negada","aprovada")</f>
        <v>aprovada</v>
      </c>
      <c r="P376" s="12" t="str">
        <f>IF(AND(Tabela1[[#This Row],[credito_tomado]]&gt;50000,Tabela1[[#This Row],[flag_inadimplente]]="Sim"),"negada","aprovada")</f>
        <v>aprovada</v>
      </c>
      <c r="Q376" s="6">
        <v>21300</v>
      </c>
      <c r="R376" s="12" t="str" cm="1">
        <f t="array" ref="R37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7" spans="1:18" ht="15.75" customHeight="1" x14ac:dyDescent="0.2">
      <c r="A377" s="2" t="s">
        <v>83</v>
      </c>
      <c r="B377" s="7" t="s">
        <v>528</v>
      </c>
      <c r="C377" s="1" t="s">
        <v>748</v>
      </c>
      <c r="D377" s="1" t="str">
        <f>TEXT(C377,"000\.000\.000\-00")</f>
        <v>000.000.262-00</v>
      </c>
      <c r="E377" s="2">
        <v>61</v>
      </c>
      <c r="F377" s="3">
        <v>23834</v>
      </c>
      <c r="G377" s="2" t="s">
        <v>83</v>
      </c>
      <c r="H377" s="7" t="s">
        <v>121</v>
      </c>
      <c r="I377" s="7" t="str">
        <f>PROPER(Tabela1[[#This Row],[regiao]])</f>
        <v>Monte Chifre</v>
      </c>
      <c r="J377" s="8" t="s">
        <v>83</v>
      </c>
      <c r="K377" s="9">
        <v>9100</v>
      </c>
      <c r="L377" s="2" t="s">
        <v>83</v>
      </c>
      <c r="M377" s="2" t="s">
        <v>83</v>
      </c>
      <c r="N377" s="2" t="str" cm="1">
        <f t="array" ref="N377">_xlfn.IFS(Tabela1[[#This Row],[qtde_]]="N/A", "N/A",Tabela1[[#This Row],[qtde_]]&lt;11,"BAIXO",Tabela1[[#This Row],[qtde_]]&lt;26,"MÉDIO",Tabela1[[#This Row],[qtde_]]&gt;=26,"ALTO")</f>
        <v>N/A</v>
      </c>
      <c r="O377" s="12" t="str">
        <f>IF(AND(Tabela1[[#This Row],[nivel_risco]]="ALTO",Tabela1[[#This Row],[flag_inadimplente]] = "Sim"),"negada","aprovada")</f>
        <v>aprovada</v>
      </c>
      <c r="P377" s="12" t="str">
        <f>IF(AND(Tabela1[[#This Row],[credito_tomado]]&gt;50000,Tabela1[[#This Row],[flag_inadimplente]]="Sim"),"negada","aprovada")</f>
        <v>aprovada</v>
      </c>
      <c r="Q377" s="6">
        <v>49000</v>
      </c>
      <c r="R377" s="12" t="str" cm="1">
        <f t="array" ref="R37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8" spans="1:18" ht="15.75" customHeight="1" x14ac:dyDescent="0.2">
      <c r="A378" s="2" t="s">
        <v>80</v>
      </c>
      <c r="B378" s="7" t="s">
        <v>749</v>
      </c>
      <c r="C378" s="1" t="s">
        <v>750</v>
      </c>
      <c r="D378" s="1" t="str">
        <f>TEXT(C378,"000\.000\.000\-00")</f>
        <v>000.000.021-00</v>
      </c>
      <c r="E378" s="2">
        <v>45</v>
      </c>
      <c r="F378" s="11" t="s">
        <v>751</v>
      </c>
      <c r="G378" s="7" t="s">
        <v>736</v>
      </c>
      <c r="I378" s="7" t="s">
        <v>83</v>
      </c>
      <c r="J378" s="8" t="s">
        <v>83</v>
      </c>
      <c r="K378" s="9" t="s">
        <v>83</v>
      </c>
      <c r="L378" s="9" t="s">
        <v>83</v>
      </c>
      <c r="M378" s="9" t="s">
        <v>83</v>
      </c>
      <c r="N378" s="2" t="str" cm="1">
        <f t="array" ref="N378">_xlfn.IFS(Tabela1[[#This Row],[qtde_]]="N/A", "N/A",Tabela1[[#This Row],[qtde_]]&lt;11,"BAIXO",Tabela1[[#This Row],[qtde_]]&lt;26,"MÉDIO",Tabela1[[#This Row],[qtde_]]&gt;=26,"ALTO")</f>
        <v>N/A</v>
      </c>
      <c r="O378" s="12" t="str">
        <f>IF(AND(Tabela1[[#This Row],[nivel_risco]]="ALTO",Tabela1[[#This Row],[flag_inadimplente]] = "Sim"),"negada","aprovada")</f>
        <v>aprovada</v>
      </c>
      <c r="P378" s="12" t="str">
        <f>IF(AND(Tabela1[[#This Row],[credito_tomado]]&gt;50000,Tabela1[[#This Row],[flag_inadimplente]]="Sim"),"negada","aprovada")</f>
        <v>aprovada</v>
      </c>
      <c r="Q378" s="6">
        <v>16200</v>
      </c>
      <c r="R378" s="12" t="str" cm="1">
        <f t="array" ref="R37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79" spans="1:18" ht="15.75" customHeight="1" x14ac:dyDescent="0.2">
      <c r="A379" s="2" t="s">
        <v>96</v>
      </c>
      <c r="B379" s="7" t="s">
        <v>752</v>
      </c>
      <c r="C379" s="1" t="s">
        <v>753</v>
      </c>
      <c r="D379" s="1" t="str">
        <f>TEXT(C379,"000\.000\.000\-00")</f>
        <v>000.000.292-00</v>
      </c>
      <c r="E379" s="2">
        <v>62</v>
      </c>
      <c r="F379" s="3">
        <v>23358</v>
      </c>
      <c r="G379" s="2" t="s">
        <v>83</v>
      </c>
      <c r="H379" s="7" t="s">
        <v>84</v>
      </c>
      <c r="I379" s="7" t="str">
        <f>PROPER(Tabela1[[#This Row],[regiao]])</f>
        <v>Jardim De Cima</v>
      </c>
      <c r="J379" s="8" t="s">
        <v>83</v>
      </c>
      <c r="K379" s="9" t="s">
        <v>83</v>
      </c>
      <c r="L379" s="2" t="s">
        <v>83</v>
      </c>
      <c r="M379" s="2" t="s">
        <v>83</v>
      </c>
      <c r="N379" s="2" t="str" cm="1">
        <f t="array" ref="N379">_xlfn.IFS(Tabela1[[#This Row],[qtde_]]="N/A", "N/A",Tabela1[[#This Row],[qtde_]]&lt;11,"BAIXO",Tabela1[[#This Row],[qtde_]]&lt;26,"MÉDIO",Tabela1[[#This Row],[qtde_]]&gt;=26,"ALTO")</f>
        <v>N/A</v>
      </c>
      <c r="O379" s="12" t="str">
        <f>IF(AND(Tabela1[[#This Row],[nivel_risco]]="ALTO",Tabela1[[#This Row],[flag_inadimplente]] = "Sim"),"negada","aprovada")</f>
        <v>aprovada</v>
      </c>
      <c r="P379" s="12" t="str">
        <f>IF(AND(Tabela1[[#This Row],[credito_tomado]]&gt;50000,Tabela1[[#This Row],[flag_inadimplente]]="Sim"),"negada","aprovada")</f>
        <v>aprovada</v>
      </c>
      <c r="Q379" s="6">
        <v>14600</v>
      </c>
      <c r="R379" s="12" t="str" cm="1">
        <f t="array" ref="R37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0" spans="1:18" ht="15.75" customHeight="1" x14ac:dyDescent="0.2">
      <c r="A380" s="2" t="s">
        <v>80</v>
      </c>
      <c r="B380" s="7" t="s">
        <v>257</v>
      </c>
      <c r="C380" s="1" t="s">
        <v>258</v>
      </c>
      <c r="D380" s="1" t="str">
        <f>TEXT(C380,"000\.000\.000\-00")</f>
        <v>000.000.189-00</v>
      </c>
      <c r="E380" s="2">
        <v>39</v>
      </c>
      <c r="F380" s="3">
        <v>31968</v>
      </c>
      <c r="G380" s="7" t="str">
        <f>PROPER(Tabela1[[#This Row],[regiao]])</f>
        <v xml:space="preserve"> Lha Dos Ursos</v>
      </c>
      <c r="H380" s="7" t="s">
        <v>754</v>
      </c>
      <c r="I380" s="7" t="s">
        <v>113</v>
      </c>
      <c r="J380" s="8" t="s">
        <v>83</v>
      </c>
      <c r="K380" s="9" t="s">
        <v>83</v>
      </c>
      <c r="L380" s="2" t="s">
        <v>83</v>
      </c>
      <c r="M380" s="2" t="s">
        <v>83</v>
      </c>
      <c r="N380" s="2" t="str" cm="1">
        <f t="array" ref="N380">_xlfn.IFS(Tabela1[[#This Row],[qtde_]]="N/A", "N/A",Tabela1[[#This Row],[qtde_]]&lt;11,"BAIXO",Tabela1[[#This Row],[qtde_]]&lt;26,"MÉDIO",Tabela1[[#This Row],[qtde_]]&gt;=26,"ALTO")</f>
        <v>N/A</v>
      </c>
      <c r="O380" s="12" t="str">
        <f>IF(AND(Tabela1[[#This Row],[nivel_risco]]="ALTO",Tabela1[[#This Row],[flag_inadimplente]] = "Sim"),"negada","aprovada")</f>
        <v>aprovada</v>
      </c>
      <c r="P380" s="12" t="str">
        <f>IF(AND(Tabela1[[#This Row],[credito_tomado]]&gt;50000,Tabela1[[#This Row],[flag_inadimplente]]="Sim"),"negada","aprovada")</f>
        <v>aprovada</v>
      </c>
      <c r="Q380" s="6">
        <v>8000</v>
      </c>
      <c r="R380" s="12" t="str" cm="1">
        <f t="array" ref="R38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1" spans="1:18" ht="15.75" customHeight="1" x14ac:dyDescent="0.2">
      <c r="A381" s="2" t="s">
        <v>80</v>
      </c>
      <c r="B381" s="7" t="s">
        <v>755</v>
      </c>
      <c r="C381" s="1">
        <v>29000</v>
      </c>
      <c r="D381" s="1" t="str">
        <f>TEXT(C381,"000\.000\.000\-00")</f>
        <v>000.000.290-00</v>
      </c>
      <c r="E381" s="2">
        <v>50</v>
      </c>
      <c r="F381" s="3" t="s">
        <v>83</v>
      </c>
      <c r="G381" s="2" t="s">
        <v>83</v>
      </c>
      <c r="H381" s="7" t="s">
        <v>153</v>
      </c>
      <c r="I381" s="7" t="str">
        <f>PROPER(Tabela1[[#This Row],[regiao]])</f>
        <v>Correrrio</v>
      </c>
      <c r="J381" s="8" t="s">
        <v>83</v>
      </c>
      <c r="K381" s="9" t="s">
        <v>83</v>
      </c>
      <c r="L381" s="2" t="s">
        <v>83</v>
      </c>
      <c r="M381" s="2" t="s">
        <v>83</v>
      </c>
      <c r="N381" s="2" t="str" cm="1">
        <f t="array" ref="N381">_xlfn.IFS(Tabela1[[#This Row],[qtde_]]="N/A", "N/A",Tabela1[[#This Row],[qtde_]]&lt;11,"BAIXO",Tabela1[[#This Row],[qtde_]]&lt;26,"MÉDIO",Tabela1[[#This Row],[qtde_]]&gt;=26,"ALTO")</f>
        <v>N/A</v>
      </c>
      <c r="O381" s="12" t="str">
        <f>IF(AND(Tabela1[[#This Row],[nivel_risco]]="ALTO",Tabela1[[#This Row],[flag_inadimplente]] = "Sim"),"negada","aprovada")</f>
        <v>aprovada</v>
      </c>
      <c r="P381" s="12" t="str">
        <f>IF(AND(Tabela1[[#This Row],[credito_tomado]]&gt;50000,Tabela1[[#This Row],[flag_inadimplente]]="Sim"),"negada","aprovada")</f>
        <v>aprovada</v>
      </c>
      <c r="Q381" s="6">
        <v>23100</v>
      </c>
      <c r="R381" s="12" t="str" cm="1">
        <f t="array" ref="R38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2" spans="1:18" ht="15.75" customHeight="1" x14ac:dyDescent="0.2">
      <c r="A382" s="2" t="s">
        <v>96</v>
      </c>
      <c r="B382" s="7" t="s">
        <v>355</v>
      </c>
      <c r="C382" s="1">
        <v>16600</v>
      </c>
      <c r="D382" s="1" t="str">
        <f>TEXT(C382,"000\.000\.000\-00")</f>
        <v>000.000.166-00</v>
      </c>
      <c r="E382" s="2">
        <v>35</v>
      </c>
      <c r="F382" s="3">
        <v>33417</v>
      </c>
      <c r="G382" s="2" t="s">
        <v>83</v>
      </c>
      <c r="H382" s="7" t="s">
        <v>84</v>
      </c>
      <c r="I382" s="7" t="str">
        <f>PROPER(Tabela1[[#This Row],[regiao]])</f>
        <v>Jardim De Cima</v>
      </c>
      <c r="J382" s="8" t="s">
        <v>83</v>
      </c>
      <c r="K382" s="9" t="s">
        <v>83</v>
      </c>
      <c r="L382" s="2" t="s">
        <v>83</v>
      </c>
      <c r="M382" s="2" t="s">
        <v>83</v>
      </c>
      <c r="N382" s="2" t="str" cm="1">
        <f t="array" ref="N382">_xlfn.IFS(Tabela1[[#This Row],[qtde_]]="N/A", "N/A",Tabela1[[#This Row],[qtde_]]&lt;11,"BAIXO",Tabela1[[#This Row],[qtde_]]&lt;26,"MÉDIO",Tabela1[[#This Row],[qtde_]]&gt;=26,"ALTO")</f>
        <v>N/A</v>
      </c>
      <c r="O382" s="12" t="str">
        <f>IF(AND(Tabela1[[#This Row],[nivel_risco]]="ALTO",Tabela1[[#This Row],[flag_inadimplente]] = "Sim"),"negada","aprovada")</f>
        <v>aprovada</v>
      </c>
      <c r="P382" s="12" t="str">
        <f>IF(AND(Tabela1[[#This Row],[credito_tomado]]&gt;50000,Tabela1[[#This Row],[flag_inadimplente]]="Sim"),"negada","aprovada")</f>
        <v>aprovada</v>
      </c>
      <c r="Q382" s="6">
        <v>12400</v>
      </c>
      <c r="R382" s="12" t="str" cm="1">
        <f t="array" ref="R38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3" spans="1:18" ht="15.75" customHeight="1" x14ac:dyDescent="0.2">
      <c r="A383" s="2" t="s">
        <v>83</v>
      </c>
      <c r="B383" s="7" t="s">
        <v>756</v>
      </c>
      <c r="C383" s="1">
        <v>14500</v>
      </c>
      <c r="D383" s="1" t="str">
        <f>TEXT(C383,"000\.000\.000\-00")</f>
        <v>000.000.145-00</v>
      </c>
      <c r="E383" s="2">
        <v>64</v>
      </c>
      <c r="F383" s="3">
        <v>22845</v>
      </c>
      <c r="G383" s="7" t="str">
        <f>PROPER(Tabela1[[#This Row],[regiao]])</f>
        <v>Atalaia Da Água Cinzenta</v>
      </c>
      <c r="H383" s="7" t="s">
        <v>108</v>
      </c>
      <c r="I383" s="7" t="s">
        <v>109</v>
      </c>
      <c r="J383" s="8" t="s">
        <v>83</v>
      </c>
      <c r="K383" s="9" t="s">
        <v>83</v>
      </c>
      <c r="L383" s="2" t="s">
        <v>83</v>
      </c>
      <c r="M383" s="2" t="s">
        <v>83</v>
      </c>
      <c r="N383" s="2" t="str" cm="1">
        <f t="array" ref="N383">_xlfn.IFS(Tabela1[[#This Row],[qtde_]]="N/A", "N/A",Tabela1[[#This Row],[qtde_]]&lt;11,"BAIXO",Tabela1[[#This Row],[qtde_]]&lt;26,"MÉDIO",Tabela1[[#This Row],[qtde_]]&gt;=26,"ALTO")</f>
        <v>N/A</v>
      </c>
      <c r="O383" s="12" t="str">
        <f>IF(AND(Tabela1[[#This Row],[nivel_risco]]="ALTO",Tabela1[[#This Row],[flag_inadimplente]] = "Sim"),"negada","aprovada")</f>
        <v>aprovada</v>
      </c>
      <c r="P383" s="12" t="str">
        <f>IF(AND(Tabela1[[#This Row],[credito_tomado]]&gt;50000,Tabela1[[#This Row],[flag_inadimplente]]="Sim"),"negada","aprovada")</f>
        <v>aprovada</v>
      </c>
      <c r="Q383" s="6">
        <v>94000</v>
      </c>
      <c r="R383" s="12" t="str" cm="1">
        <f t="array" ref="R38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4" spans="1:18" ht="15.75" customHeight="1" x14ac:dyDescent="0.2">
      <c r="A384" s="2" t="s">
        <v>80</v>
      </c>
      <c r="B384" s="7" t="s">
        <v>757</v>
      </c>
      <c r="C384" s="1" t="s">
        <v>758</v>
      </c>
      <c r="D384" s="1" t="str">
        <f>TEXT(C384,"000\.000\.000\-00")</f>
        <v>000.000.330-00</v>
      </c>
      <c r="E384" s="2">
        <v>36</v>
      </c>
      <c r="F384" s="3">
        <v>32908</v>
      </c>
      <c r="G384" s="2" t="s">
        <v>83</v>
      </c>
      <c r="H384" s="7" t="s">
        <v>138</v>
      </c>
      <c r="I384" s="7" t="str">
        <f>PROPER(Tabela1[[#This Row],[regiao]])</f>
        <v>Meereen</v>
      </c>
      <c r="J384" s="8" t="s">
        <v>83</v>
      </c>
      <c r="K384" s="9" t="s">
        <v>83</v>
      </c>
      <c r="L384" s="2" t="s">
        <v>83</v>
      </c>
      <c r="M384" s="2" t="s">
        <v>83</v>
      </c>
      <c r="N384" s="2" t="str" cm="1">
        <f t="array" ref="N384">_xlfn.IFS(Tabela1[[#This Row],[qtde_]]="N/A", "N/A",Tabela1[[#This Row],[qtde_]]&lt;11,"BAIXO",Tabela1[[#This Row],[qtde_]]&lt;26,"MÉDIO",Tabela1[[#This Row],[qtde_]]&gt;=26,"ALTO")</f>
        <v>N/A</v>
      </c>
      <c r="O384" s="12" t="str">
        <f>IF(AND(Tabela1[[#This Row],[nivel_risco]]="ALTO",Tabela1[[#This Row],[flag_inadimplente]] = "Sim"),"negada","aprovada")</f>
        <v>aprovada</v>
      </c>
      <c r="P384" s="12" t="str">
        <f>IF(AND(Tabela1[[#This Row],[credito_tomado]]&gt;50000,Tabela1[[#This Row],[flag_inadimplente]]="Sim"),"negada","aprovada")</f>
        <v>aprovada</v>
      </c>
      <c r="Q384" s="6">
        <v>16600</v>
      </c>
      <c r="R384" s="12" t="str" cm="1">
        <f t="array" ref="R38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5" spans="1:18" ht="15.75" customHeight="1" x14ac:dyDescent="0.2">
      <c r="A385" s="2" t="s">
        <v>80</v>
      </c>
      <c r="B385" s="7" t="s">
        <v>759</v>
      </c>
      <c r="C385" s="1">
        <v>1800</v>
      </c>
      <c r="D385" s="1" t="str">
        <f>TEXT(C385,"000\.000\.000\-00")</f>
        <v>000.000.018-00</v>
      </c>
      <c r="E385" s="2">
        <v>26</v>
      </c>
      <c r="F385" s="3">
        <v>36757</v>
      </c>
      <c r="G385" s="2" t="s">
        <v>83</v>
      </c>
      <c r="H385" s="7" t="s">
        <v>121</v>
      </c>
      <c r="I385" s="7" t="str">
        <f>PROPER(Tabela1[[#This Row],[regiao]])</f>
        <v>Monte Chifre</v>
      </c>
      <c r="J385" s="8" t="s">
        <v>83</v>
      </c>
      <c r="K385" s="9" t="s">
        <v>83</v>
      </c>
      <c r="L385" s="2" t="s">
        <v>83</v>
      </c>
      <c r="M385" s="2" t="s">
        <v>83</v>
      </c>
      <c r="N385" s="2" t="str" cm="1">
        <f t="array" ref="N385">_xlfn.IFS(Tabela1[[#This Row],[qtde_]]="N/A", "N/A",Tabela1[[#This Row],[qtde_]]&lt;11,"BAIXO",Tabela1[[#This Row],[qtde_]]&lt;26,"MÉDIO",Tabela1[[#This Row],[qtde_]]&gt;=26,"ALTO")</f>
        <v>N/A</v>
      </c>
      <c r="O385" s="12" t="str">
        <f>IF(AND(Tabela1[[#This Row],[nivel_risco]]="ALTO",Tabela1[[#This Row],[flag_inadimplente]] = "Sim"),"negada","aprovada")</f>
        <v>aprovada</v>
      </c>
      <c r="P385" s="12" t="str">
        <f>IF(AND(Tabela1[[#This Row],[credito_tomado]]&gt;50000,Tabela1[[#This Row],[flag_inadimplente]]="Sim"),"negada","aprovada")</f>
        <v>aprovada</v>
      </c>
      <c r="Q385" s="6">
        <v>18400</v>
      </c>
      <c r="R385" s="12" t="str" cm="1">
        <f t="array" ref="R38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6" spans="1:18" ht="15.75" customHeight="1" x14ac:dyDescent="0.2">
      <c r="A386" s="2" t="s">
        <v>96</v>
      </c>
      <c r="B386" s="7" t="s">
        <v>373</v>
      </c>
      <c r="C386" s="1" t="s">
        <v>760</v>
      </c>
      <c r="D386" s="1" t="str">
        <f>TEXT(C386,"000\.000\.000\-00")</f>
        <v>000.000.162.-00</v>
      </c>
      <c r="E386" s="2">
        <v>47</v>
      </c>
      <c r="F386" s="3">
        <v>29064</v>
      </c>
      <c r="G386" s="2" t="s">
        <v>83</v>
      </c>
      <c r="H386" s="7" t="s">
        <v>761</v>
      </c>
      <c r="I386" s="7" t="str">
        <f>PROPER(Tabela1[[#This Row],[regiao]])</f>
        <v xml:space="preserve"> Correrrio</v>
      </c>
      <c r="J386" s="8" t="s">
        <v>83</v>
      </c>
      <c r="K386" s="9" t="s">
        <v>83</v>
      </c>
      <c r="L386" s="2" t="s">
        <v>83</v>
      </c>
      <c r="M386" s="2" t="s">
        <v>83</v>
      </c>
      <c r="N386" s="2" t="str" cm="1">
        <f t="array" ref="N386">_xlfn.IFS(Tabela1[[#This Row],[qtde_]]="N/A", "N/A",Tabela1[[#This Row],[qtde_]]&lt;11,"BAIXO",Tabela1[[#This Row],[qtde_]]&lt;26,"MÉDIO",Tabela1[[#This Row],[qtde_]]&gt;=26,"ALTO")</f>
        <v>N/A</v>
      </c>
      <c r="O386" s="12" t="str">
        <f>IF(AND(Tabela1[[#This Row],[nivel_risco]]="ALTO",Tabela1[[#This Row],[flag_inadimplente]] = "Sim"),"negada","aprovada")</f>
        <v>aprovada</v>
      </c>
      <c r="P386" s="12" t="str">
        <f>IF(AND(Tabela1[[#This Row],[credito_tomado]]&gt;50000,Tabela1[[#This Row],[flag_inadimplente]]="Sim"),"negada","aprovada")</f>
        <v>aprovada</v>
      </c>
      <c r="Q386" s="6">
        <v>13300</v>
      </c>
      <c r="R386" s="12" t="str" cm="1">
        <f t="array" ref="R38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7" spans="1:18" ht="15.75" customHeight="1" x14ac:dyDescent="0.2">
      <c r="A387" s="2" t="s">
        <v>80</v>
      </c>
      <c r="B387" s="7" t="s">
        <v>762</v>
      </c>
      <c r="C387" s="1" t="s">
        <v>514</v>
      </c>
      <c r="D387" s="1" t="str">
        <f>TEXT(C387,"000\.000\.000\-00")</f>
        <v>000.000.036-00</v>
      </c>
      <c r="E387" s="2">
        <v>49</v>
      </c>
      <c r="F387" s="3">
        <v>28126</v>
      </c>
      <c r="G387" s="2" t="s">
        <v>84</v>
      </c>
      <c r="H387" s="2" t="s">
        <v>122</v>
      </c>
      <c r="I387" s="2" t="str">
        <f>PROPER(Tabela1[[#This Row],[regiao]])</f>
        <v>Campina</v>
      </c>
      <c r="J387" s="8" t="s">
        <v>83</v>
      </c>
      <c r="K387" s="9" t="s">
        <v>83</v>
      </c>
      <c r="L387" s="2" t="s">
        <v>101</v>
      </c>
      <c r="M387" s="2">
        <v>1</v>
      </c>
      <c r="N387" s="2" t="str" cm="1">
        <f t="array" ref="N387">_xlfn.IFS(Tabela1[[#This Row],[qtde_]]="N/A", "N/A",Tabela1[[#This Row],[qtde_]]&lt;11,"BAIXO",Tabela1[[#This Row],[qtde_]]&lt;26,"MÉDIO",Tabela1[[#This Row],[qtde_]]&gt;=26,"ALTO")</f>
        <v>BAIXO</v>
      </c>
      <c r="O387" s="12" t="str">
        <f>IF(AND(Tabela1[[#This Row],[nivel_risco]]="ALTO",Tabela1[[#This Row],[flag_inadimplente]] = "Sim"),"negada","aprovada")</f>
        <v>aprovada</v>
      </c>
      <c r="P387" s="12" t="str">
        <f>IF(AND(Tabela1[[#This Row],[credito_tomado]]&gt;50000,Tabela1[[#This Row],[flag_inadimplente]]="Sim"),"negada","aprovada")</f>
        <v>negada</v>
      </c>
      <c r="Q387" s="6" t="s">
        <v>83</v>
      </c>
      <c r="R387" s="12" t="str" cm="1">
        <f t="array" ref="R38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8" spans="1:18" ht="15.75" customHeight="1" x14ac:dyDescent="0.2">
      <c r="A388" s="2" t="s">
        <v>80</v>
      </c>
      <c r="B388" s="7" t="s">
        <v>763</v>
      </c>
      <c r="C388" s="1" t="s">
        <v>764</v>
      </c>
      <c r="D388" s="1" t="str">
        <f>TEXT(C388,"000\.000\.000\-00")</f>
        <v>000.000.176-00</v>
      </c>
      <c r="E388" s="2">
        <v>73</v>
      </c>
      <c r="F388" s="11">
        <v>19364</v>
      </c>
      <c r="G388" s="2" t="s">
        <v>739</v>
      </c>
      <c r="H388" s="2" t="s">
        <v>85</v>
      </c>
      <c r="I388" s="2" t="str">
        <f>PROPER(Tabela1[[#This Row],[regiao]])</f>
        <v>Campina</v>
      </c>
      <c r="J388" s="8" t="s">
        <v>83</v>
      </c>
      <c r="K388" s="9" t="s">
        <v>83</v>
      </c>
      <c r="L388" s="2" t="s">
        <v>86</v>
      </c>
      <c r="M388" s="2" t="s">
        <v>83</v>
      </c>
      <c r="N388" s="2" t="str" cm="1">
        <f t="array" ref="N388">_xlfn.IFS(Tabela1[[#This Row],[qtde_]]="N/A", "N/A",Tabela1[[#This Row],[qtde_]]&lt;11,"BAIXO",Tabela1[[#This Row],[qtde_]]&lt;26,"MÉDIO",Tabela1[[#This Row],[qtde_]]&gt;=26,"ALTO")</f>
        <v>N/A</v>
      </c>
      <c r="O388" s="12" t="str">
        <f>IF(AND(Tabela1[[#This Row],[nivel_risco]]="ALTO",Tabela1[[#This Row],[flag_inadimplente]] = "Sim"),"negada","aprovada")</f>
        <v>aprovada</v>
      </c>
      <c r="P388" s="12" t="str">
        <f>IF(AND(Tabela1[[#This Row],[credito_tomado]]&gt;50000,Tabela1[[#This Row],[flag_inadimplente]]="Sim"),"negada","aprovada")</f>
        <v>aprovada</v>
      </c>
      <c r="Q388" s="6">
        <v>54000</v>
      </c>
      <c r="R388" s="12" t="str" cm="1">
        <f t="array" ref="R38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89" spans="1:18" ht="15.75" customHeight="1" x14ac:dyDescent="0.2">
      <c r="A389" s="2" t="s">
        <v>80</v>
      </c>
      <c r="B389" s="7" t="s">
        <v>765</v>
      </c>
      <c r="C389" s="1" t="s">
        <v>447</v>
      </c>
      <c r="D389" s="1" t="str">
        <f>TEXT(C389,"000\.000\.000\-00")</f>
        <v>000.000.222-00</v>
      </c>
      <c r="E389" s="2">
        <v>26</v>
      </c>
      <c r="F389" s="11">
        <v>36422</v>
      </c>
      <c r="G389" s="2" t="s">
        <v>766</v>
      </c>
      <c r="H389" s="2" t="s">
        <v>53</v>
      </c>
      <c r="I389" s="2" t="str">
        <f>PROPER(Tabela1[[#This Row],[regiao]])</f>
        <v>Terras Da Coroa</v>
      </c>
      <c r="J389" s="8" t="s">
        <v>83</v>
      </c>
      <c r="K389" s="9" t="s">
        <v>83</v>
      </c>
      <c r="L389" s="2" t="s">
        <v>83</v>
      </c>
      <c r="M389" s="2" t="s">
        <v>83</v>
      </c>
      <c r="N389" s="2" t="str" cm="1">
        <f t="array" ref="N389">_xlfn.IFS(Tabela1[[#This Row],[qtde_]]="N/A", "N/A",Tabela1[[#This Row],[qtde_]]&lt;11,"BAIXO",Tabela1[[#This Row],[qtde_]]&lt;26,"MÉDIO",Tabela1[[#This Row],[qtde_]]&gt;=26,"ALTO")</f>
        <v>N/A</v>
      </c>
      <c r="O389" s="12" t="str">
        <f>IF(AND(Tabela1[[#This Row],[nivel_risco]]="ALTO",Tabela1[[#This Row],[flag_inadimplente]] = "Sim"),"negada","aprovada")</f>
        <v>aprovada</v>
      </c>
      <c r="P389" s="12" t="str">
        <f>IF(AND(Tabela1[[#This Row],[credito_tomado]]&gt;50000,Tabela1[[#This Row],[flag_inadimplente]]="Sim"),"negada","aprovada")</f>
        <v>aprovada</v>
      </c>
      <c r="Q389" s="6">
        <v>72000</v>
      </c>
      <c r="R389" s="12" t="str" cm="1">
        <f t="array" ref="R38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0" spans="1:18" ht="15.75" customHeight="1" x14ac:dyDescent="0.2">
      <c r="A390" s="2" t="s">
        <v>80</v>
      </c>
      <c r="B390" s="7" t="s">
        <v>257</v>
      </c>
      <c r="C390" s="1" t="s">
        <v>407</v>
      </c>
      <c r="D390" s="1" t="str">
        <f>TEXT(C390,"000\.000\.000\-00")</f>
        <v>000.000.042-00</v>
      </c>
      <c r="E390" s="2">
        <v>33</v>
      </c>
      <c r="F390" s="3">
        <v>33822</v>
      </c>
      <c r="G390" s="2" t="s">
        <v>124</v>
      </c>
      <c r="H390" s="2"/>
      <c r="I390" s="7" t="s">
        <v>83</v>
      </c>
      <c r="J390" s="8" t="s">
        <v>83</v>
      </c>
      <c r="K390" s="9" t="s">
        <v>83</v>
      </c>
      <c r="L390" s="2" t="s">
        <v>101</v>
      </c>
      <c r="M390" s="9" t="s">
        <v>83</v>
      </c>
      <c r="N390" s="2" t="str" cm="1">
        <f t="array" ref="N390">_xlfn.IFS(Tabela1[[#This Row],[qtde_]]="N/A", "N/A",Tabela1[[#This Row],[qtde_]]&lt;11,"BAIXO",Tabela1[[#This Row],[qtde_]]&lt;26,"MÉDIO",Tabela1[[#This Row],[qtde_]]&gt;=26,"ALTO")</f>
        <v>N/A</v>
      </c>
      <c r="O390" s="12" t="str">
        <f>IF(AND(Tabela1[[#This Row],[nivel_risco]]="ALTO",Tabela1[[#This Row],[flag_inadimplente]] = "Sim"),"negada","aprovada")</f>
        <v>aprovada</v>
      </c>
      <c r="P390" s="12" t="str">
        <f>IF(AND(Tabela1[[#This Row],[credito_tomado]]&gt;50000,Tabela1[[#This Row],[flag_inadimplente]]="Sim"),"negada","aprovada")</f>
        <v>negada</v>
      </c>
      <c r="Q390" s="6">
        <v>3000</v>
      </c>
      <c r="R390" s="12" t="str" cm="1">
        <f t="array" ref="R39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1" spans="1:18" ht="15.75" customHeight="1" x14ac:dyDescent="0.2">
      <c r="A391" s="2" t="s">
        <v>80</v>
      </c>
      <c r="B391" s="7" t="s">
        <v>767</v>
      </c>
      <c r="C391" s="1" t="s">
        <v>768</v>
      </c>
      <c r="D391" s="1" t="str">
        <f>TEXT(C391,"000\.000\.000\-00")</f>
        <v>000.000.174-00</v>
      </c>
      <c r="E391" s="2">
        <v>67</v>
      </c>
      <c r="F391" s="3">
        <v>21671</v>
      </c>
      <c r="G391" s="2" t="s">
        <v>104</v>
      </c>
      <c r="H391" s="2" t="s">
        <v>769</v>
      </c>
      <c r="I391" s="2" t="str">
        <f>PROPER(Tabela1[[#This Row],[regiao]])</f>
        <v>Terras Da Tempestade</v>
      </c>
      <c r="J391" s="8" t="s">
        <v>83</v>
      </c>
      <c r="K391" s="9" t="s">
        <v>83</v>
      </c>
      <c r="L391" s="2" t="s">
        <v>101</v>
      </c>
      <c r="M391" s="2" t="s">
        <v>83</v>
      </c>
      <c r="N391" s="2" t="str" cm="1">
        <f t="array" ref="N391">_xlfn.IFS(Tabela1[[#This Row],[qtde_]]="N/A", "N/A",Tabela1[[#This Row],[qtde_]]&lt;11,"BAIXO",Tabela1[[#This Row],[qtde_]]&lt;26,"MÉDIO",Tabela1[[#This Row],[qtde_]]&gt;=26,"ALTO")</f>
        <v>N/A</v>
      </c>
      <c r="O391" s="12" t="str">
        <f>IF(AND(Tabela1[[#This Row],[nivel_risco]]="ALTO",Tabela1[[#This Row],[flag_inadimplente]] = "Sim"),"negada","aprovada")</f>
        <v>aprovada</v>
      </c>
      <c r="P391" s="12" t="str">
        <f>IF(AND(Tabela1[[#This Row],[credito_tomado]]&gt;50000,Tabela1[[#This Row],[flag_inadimplente]]="Sim"),"negada","aprovada")</f>
        <v>negada</v>
      </c>
      <c r="Q391" s="6">
        <v>42500</v>
      </c>
      <c r="R391" s="12" t="str" cm="1">
        <f t="array" ref="R39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2" spans="1:18" ht="15.75" customHeight="1" x14ac:dyDescent="0.2">
      <c r="A392" s="2" t="s">
        <v>80</v>
      </c>
      <c r="B392" s="7" t="s">
        <v>770</v>
      </c>
      <c r="C392" s="1">
        <v>18300</v>
      </c>
      <c r="D392" s="1" t="str">
        <f>TEXT(C392,"000\.000\.000\-00")</f>
        <v>000.000.183-00</v>
      </c>
      <c r="E392" s="2">
        <v>72</v>
      </c>
      <c r="F392" s="3">
        <v>19801</v>
      </c>
      <c r="G392" s="2" t="s">
        <v>89</v>
      </c>
      <c r="H392" s="2" t="s">
        <v>220</v>
      </c>
      <c r="I392" s="2" t="str">
        <f>PROPER(Tabela1[[#This Row],[regiao]])</f>
        <v>Terras Da Coroa</v>
      </c>
      <c r="J392" s="8" t="s">
        <v>83</v>
      </c>
      <c r="K392" s="9" t="s">
        <v>83</v>
      </c>
      <c r="L392" s="2" t="s">
        <v>86</v>
      </c>
      <c r="M392" s="2" t="s">
        <v>83</v>
      </c>
      <c r="N392" s="2" t="str" cm="1">
        <f t="array" ref="N392">_xlfn.IFS(Tabela1[[#This Row],[qtde_]]="N/A", "N/A",Tabela1[[#This Row],[qtde_]]&lt;11,"BAIXO",Tabela1[[#This Row],[qtde_]]&lt;26,"MÉDIO",Tabela1[[#This Row],[qtde_]]&gt;=26,"ALTO")</f>
        <v>N/A</v>
      </c>
      <c r="O392" s="12" t="str">
        <f>IF(AND(Tabela1[[#This Row],[nivel_risco]]="ALTO",Tabela1[[#This Row],[flag_inadimplente]] = "Sim"),"negada","aprovada")</f>
        <v>aprovada</v>
      </c>
      <c r="P392" s="12" t="str">
        <f>IF(AND(Tabela1[[#This Row],[credito_tomado]]&gt;50000,Tabela1[[#This Row],[flag_inadimplente]]="Sim"),"negada","aprovada")</f>
        <v>aprovada</v>
      </c>
      <c r="Q392" s="6" t="s">
        <v>83</v>
      </c>
      <c r="R392" s="12" t="str" cm="1">
        <f t="array" ref="R39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3" spans="1:18" ht="15.75" customHeight="1" x14ac:dyDescent="0.2">
      <c r="A393" s="2" t="s">
        <v>80</v>
      </c>
      <c r="B393" s="7" t="s">
        <v>771</v>
      </c>
      <c r="C393" s="1" t="s">
        <v>772</v>
      </c>
      <c r="D393" s="1" t="str">
        <f>TEXT(C393,"000\.000\.000\-00")</f>
        <v>000.000.185-00</v>
      </c>
      <c r="E393" s="2">
        <v>35</v>
      </c>
      <c r="F393" s="11">
        <v>33370</v>
      </c>
      <c r="G393" s="2" t="s">
        <v>742</v>
      </c>
      <c r="H393" s="2" t="s">
        <v>90</v>
      </c>
      <c r="I393" s="2" t="str">
        <f>PROPER(Tabela1[[#This Row],[regiao]])</f>
        <v>Terras Da Coroa</v>
      </c>
      <c r="J393" s="8" t="s">
        <v>83</v>
      </c>
      <c r="K393" s="9" t="s">
        <v>83</v>
      </c>
      <c r="L393" s="2" t="s">
        <v>86</v>
      </c>
      <c r="M393" s="2" t="s">
        <v>83</v>
      </c>
      <c r="N393" s="2" t="str" cm="1">
        <f t="array" ref="N393">_xlfn.IFS(Tabela1[[#This Row],[qtde_]]="N/A", "N/A",Tabela1[[#This Row],[qtde_]]&lt;11,"BAIXO",Tabela1[[#This Row],[qtde_]]&lt;26,"MÉDIO",Tabela1[[#This Row],[qtde_]]&gt;=26,"ALTO")</f>
        <v>N/A</v>
      </c>
      <c r="O393" s="12" t="str">
        <f>IF(AND(Tabela1[[#This Row],[nivel_risco]]="ALTO",Tabela1[[#This Row],[flag_inadimplente]] = "Sim"),"negada","aprovada")</f>
        <v>aprovada</v>
      </c>
      <c r="P393" s="12" t="str">
        <f>IF(AND(Tabela1[[#This Row],[credito_tomado]]&gt;50000,Tabela1[[#This Row],[flag_inadimplente]]="Sim"),"negada","aprovada")</f>
        <v>aprovada</v>
      </c>
      <c r="Q393" s="6">
        <v>69500</v>
      </c>
      <c r="R393" s="12" t="str" cm="1">
        <f t="array" ref="R39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4" spans="1:18" ht="15.75" customHeight="1" x14ac:dyDescent="0.2">
      <c r="A394" s="2" t="s">
        <v>80</v>
      </c>
      <c r="B394" s="7" t="s">
        <v>727</v>
      </c>
      <c r="C394" s="1" t="s">
        <v>773</v>
      </c>
      <c r="D394" s="1" t="str">
        <f>TEXT(C394,"000\.000\.000\-00")</f>
        <v>000.000.048-00</v>
      </c>
      <c r="E394" s="2">
        <v>33</v>
      </c>
      <c r="F394" s="3">
        <v>34084</v>
      </c>
      <c r="G394" s="2" t="s">
        <v>747</v>
      </c>
      <c r="H394" s="2" t="s">
        <v>113</v>
      </c>
      <c r="I394" s="2" t="str">
        <f>PROPER(Tabela1[[#This Row],[regiao]])</f>
        <v>Norte</v>
      </c>
      <c r="J394" s="8" t="s">
        <v>83</v>
      </c>
      <c r="K394" s="9" t="s">
        <v>83</v>
      </c>
      <c r="L394" s="2" t="s">
        <v>101</v>
      </c>
      <c r="M394" s="2" t="s">
        <v>83</v>
      </c>
      <c r="N394" s="2" t="str" cm="1">
        <f t="array" ref="N394">_xlfn.IFS(Tabela1[[#This Row],[qtde_]]="N/A", "N/A",Tabela1[[#This Row],[qtde_]]&lt;11,"BAIXO",Tabela1[[#This Row],[qtde_]]&lt;26,"MÉDIO",Tabela1[[#This Row],[qtde_]]&gt;=26,"ALTO")</f>
        <v>N/A</v>
      </c>
      <c r="O394" s="12" t="str">
        <f>IF(AND(Tabela1[[#This Row],[nivel_risco]]="ALTO",Tabela1[[#This Row],[flag_inadimplente]] = "Sim"),"negada","aprovada")</f>
        <v>aprovada</v>
      </c>
      <c r="P394" s="12" t="str">
        <f>IF(AND(Tabela1[[#This Row],[credito_tomado]]&gt;50000,Tabela1[[#This Row],[flag_inadimplente]]="Sim"),"negada","aprovada")</f>
        <v>negada</v>
      </c>
      <c r="Q394" s="6">
        <v>38000</v>
      </c>
      <c r="R394" s="12" t="str" cm="1">
        <f t="array" ref="R394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5" spans="1:18" ht="15.75" customHeight="1" x14ac:dyDescent="0.2">
      <c r="A395" s="2" t="s">
        <v>80</v>
      </c>
      <c r="B395" s="7" t="s">
        <v>774</v>
      </c>
      <c r="C395" s="1" t="s">
        <v>775</v>
      </c>
      <c r="D395" s="1" t="str">
        <f>TEXT(C395,"000\.000\.000\-00")</f>
        <v>000.000.121-00</v>
      </c>
      <c r="E395" s="2">
        <v>58</v>
      </c>
      <c r="F395" s="11">
        <v>24777</v>
      </c>
      <c r="G395" s="2" t="s">
        <v>776</v>
      </c>
      <c r="H395" s="2" t="s">
        <v>145</v>
      </c>
      <c r="I395" s="2" t="str">
        <f>PROPER(Tabela1[[#This Row],[regiao]])</f>
        <v>Vale</v>
      </c>
      <c r="J395" s="8" t="s">
        <v>83</v>
      </c>
      <c r="K395" s="9" t="s">
        <v>83</v>
      </c>
      <c r="L395" s="2" t="s">
        <v>86</v>
      </c>
      <c r="M395" s="2" t="s">
        <v>83</v>
      </c>
      <c r="N395" s="2" t="str" cm="1">
        <f t="array" ref="N395">_xlfn.IFS(Tabela1[[#This Row],[qtde_]]="N/A", "N/A",Tabela1[[#This Row],[qtde_]]&lt;11,"BAIXO",Tabela1[[#This Row],[qtde_]]&lt;26,"MÉDIO",Tabela1[[#This Row],[qtde_]]&gt;=26,"ALTO")</f>
        <v>N/A</v>
      </c>
      <c r="O395" s="12" t="str">
        <f>IF(AND(Tabela1[[#This Row],[nivel_risco]]="ALTO",Tabela1[[#This Row],[flag_inadimplente]] = "Sim"),"negada","aprovada")</f>
        <v>aprovada</v>
      </c>
      <c r="P395" s="12" t="str">
        <f>IF(AND(Tabela1[[#This Row],[credito_tomado]]&gt;50000,Tabela1[[#This Row],[flag_inadimplente]]="Sim"),"negada","aprovada")</f>
        <v>aprovada</v>
      </c>
      <c r="Q395" s="6" t="s">
        <v>83</v>
      </c>
      <c r="R395" s="12" t="str" cm="1">
        <f t="array" ref="R395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6" spans="1:18" ht="15.75" customHeight="1" x14ac:dyDescent="0.2">
      <c r="A396" s="2" t="s">
        <v>96</v>
      </c>
      <c r="B396" s="7" t="s">
        <v>497</v>
      </c>
      <c r="C396" s="1" t="s">
        <v>498</v>
      </c>
      <c r="D396" s="1" t="str">
        <f>TEXT(C396,"000\.000\.000\-00")</f>
        <v>000.000.245-00</v>
      </c>
      <c r="E396" s="2">
        <v>65</v>
      </c>
      <c r="F396" s="3">
        <v>22205</v>
      </c>
      <c r="G396" s="2" t="s">
        <v>744</v>
      </c>
      <c r="H396" s="2" t="s">
        <v>113</v>
      </c>
      <c r="I396" s="2" t="str">
        <f>PROPER(Tabela1[[#This Row],[regiao]])</f>
        <v>Norte</v>
      </c>
      <c r="J396" s="8" t="s">
        <v>83</v>
      </c>
      <c r="K396" s="9" t="s">
        <v>83</v>
      </c>
      <c r="L396" s="2" t="s">
        <v>86</v>
      </c>
      <c r="M396" s="2" t="s">
        <v>83</v>
      </c>
      <c r="N396" s="2" t="str" cm="1">
        <f t="array" ref="N396">_xlfn.IFS(Tabela1[[#This Row],[qtde_]]="N/A", "N/A",Tabela1[[#This Row],[qtde_]]&lt;11,"BAIXO",Tabela1[[#This Row],[qtde_]]&lt;26,"MÉDIO",Tabela1[[#This Row],[qtde_]]&gt;=26,"ALTO")</f>
        <v>N/A</v>
      </c>
      <c r="O396" s="12" t="str">
        <f>IF(AND(Tabela1[[#This Row],[nivel_risco]]="ALTO",Tabela1[[#This Row],[flag_inadimplente]] = "Sim"),"negada","aprovada")</f>
        <v>aprovada</v>
      </c>
      <c r="P396" s="12" t="str">
        <f>IF(AND(Tabela1[[#This Row],[credito_tomado]]&gt;50000,Tabela1[[#This Row],[flag_inadimplente]]="Sim"),"negada","aprovada")</f>
        <v>aprovada</v>
      </c>
      <c r="Q396" s="6">
        <v>78500</v>
      </c>
      <c r="R396" s="12" t="str" cm="1">
        <f t="array" ref="R396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7" spans="1:18" ht="15.75" customHeight="1" x14ac:dyDescent="0.2">
      <c r="A397" s="2" t="s">
        <v>96</v>
      </c>
      <c r="B397" s="7" t="s">
        <v>489</v>
      </c>
      <c r="C397" s="1">
        <v>8400</v>
      </c>
      <c r="D397" s="1" t="str">
        <f>TEXT(C397,"000\.000\.000\-00")</f>
        <v>000.000.084-00</v>
      </c>
      <c r="E397" s="2">
        <v>38</v>
      </c>
      <c r="F397" s="11">
        <v>32351</v>
      </c>
      <c r="G397" s="2" t="s">
        <v>766</v>
      </c>
      <c r="H397" s="2" t="s">
        <v>53</v>
      </c>
      <c r="I397" s="2" t="str">
        <f>PROPER(Tabela1[[#This Row],[regiao]])</f>
        <v>Terras Da Coroa</v>
      </c>
      <c r="J397" s="8" t="s">
        <v>83</v>
      </c>
      <c r="K397" s="9" t="s">
        <v>83</v>
      </c>
      <c r="L397" s="2" t="s">
        <v>86</v>
      </c>
      <c r="M397" s="2" t="s">
        <v>83</v>
      </c>
      <c r="N397" s="2" t="str" cm="1">
        <f t="array" ref="N397">_xlfn.IFS(Tabela1[[#This Row],[qtde_]]="N/A", "N/A",Tabela1[[#This Row],[qtde_]]&lt;11,"BAIXO",Tabela1[[#This Row],[qtde_]]&lt;26,"MÉDIO",Tabela1[[#This Row],[qtde_]]&gt;=26,"ALTO")</f>
        <v>N/A</v>
      </c>
      <c r="O397" s="12" t="str">
        <f>IF(AND(Tabela1[[#This Row],[nivel_risco]]="ALTO",Tabela1[[#This Row],[flag_inadimplente]] = "Sim"),"negada","aprovada")</f>
        <v>aprovada</v>
      </c>
      <c r="P397" s="12" t="str">
        <f>IF(AND(Tabela1[[#This Row],[credito_tomado]]&gt;50000,Tabela1[[#This Row],[flag_inadimplente]]="Sim"),"negada","aprovada")</f>
        <v>aprovada</v>
      </c>
      <c r="Q397" s="6" t="s">
        <v>83</v>
      </c>
      <c r="R397" s="12" t="str" cm="1">
        <f t="array" ref="R397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8" spans="1:18" ht="15.75" customHeight="1" x14ac:dyDescent="0.2">
      <c r="A398" s="2" t="s">
        <v>80</v>
      </c>
      <c r="B398" s="7" t="s">
        <v>442</v>
      </c>
      <c r="C398" s="1" t="s">
        <v>777</v>
      </c>
      <c r="D398" s="1" t="str">
        <f>TEXT(C398,"000\.000\.000\-00")</f>
        <v>000.000.268-00</v>
      </c>
      <c r="E398" s="2">
        <v>60</v>
      </c>
      <c r="F398" s="3">
        <v>24100</v>
      </c>
      <c r="G398" s="2" t="s">
        <v>153</v>
      </c>
      <c r="H398" s="2" t="s">
        <v>133</v>
      </c>
      <c r="I398" s="2" t="str">
        <f>PROPER(Tabela1[[#This Row],[regiao]])</f>
        <v>Terras Fluviais</v>
      </c>
      <c r="J398" s="8" t="s">
        <v>83</v>
      </c>
      <c r="K398" s="9" t="s">
        <v>83</v>
      </c>
      <c r="L398" s="2" t="s">
        <v>101</v>
      </c>
      <c r="M398" s="2" t="s">
        <v>83</v>
      </c>
      <c r="N398" s="2" t="str" cm="1">
        <f t="array" ref="N398">_xlfn.IFS(Tabela1[[#This Row],[qtde_]]="N/A", "N/A",Tabela1[[#This Row],[qtde_]]&lt;11,"BAIXO",Tabela1[[#This Row],[qtde_]]&lt;26,"MÉDIO",Tabela1[[#This Row],[qtde_]]&gt;=26,"ALTO")</f>
        <v>N/A</v>
      </c>
      <c r="O398" s="12" t="str">
        <f>IF(AND(Tabela1[[#This Row],[nivel_risco]]="ALTO",Tabela1[[#This Row],[flag_inadimplente]] = "Sim"),"negada","aprovada")</f>
        <v>aprovada</v>
      </c>
      <c r="P398" s="12" t="str">
        <f>IF(AND(Tabela1[[#This Row],[credito_tomado]]&gt;50000,Tabela1[[#This Row],[flag_inadimplente]]="Sim"),"negada","aprovada")</f>
        <v>negada</v>
      </c>
      <c r="Q398" s="6">
        <v>61000</v>
      </c>
      <c r="R398" s="12" t="str" cm="1">
        <f t="array" ref="R398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399" spans="1:18" ht="15.75" customHeight="1" x14ac:dyDescent="0.2">
      <c r="A399" s="2" t="s">
        <v>80</v>
      </c>
      <c r="B399" s="7" t="s">
        <v>778</v>
      </c>
      <c r="C399" s="1">
        <v>5300</v>
      </c>
      <c r="D399" s="1" t="str">
        <f>TEXT(C399,"000\.000\.000\-00")</f>
        <v>000.000.053-00</v>
      </c>
      <c r="E399" s="2">
        <v>56</v>
      </c>
      <c r="F399" s="3">
        <v>25578</v>
      </c>
      <c r="G399" s="2" t="s">
        <v>779</v>
      </c>
      <c r="H399" s="2" t="s">
        <v>162</v>
      </c>
      <c r="I399" s="2" t="str">
        <f>PROPER(Tabela1[[#This Row],[regiao]])</f>
        <v>Ilhas De Ferro</v>
      </c>
      <c r="J399" s="8" t="s">
        <v>83</v>
      </c>
      <c r="K399" s="9" t="s">
        <v>83</v>
      </c>
      <c r="L399" s="2" t="s">
        <v>86</v>
      </c>
      <c r="M399" s="2" t="s">
        <v>83</v>
      </c>
      <c r="N399" s="2" t="str" cm="1">
        <f t="array" ref="N399">_xlfn.IFS(Tabela1[[#This Row],[qtde_]]="N/A", "N/A",Tabela1[[#This Row],[qtde_]]&lt;11,"BAIXO",Tabela1[[#This Row],[qtde_]]&lt;26,"MÉDIO",Tabela1[[#This Row],[qtde_]]&gt;=26,"ALTO")</f>
        <v>N/A</v>
      </c>
      <c r="O399" s="12" t="str">
        <f>IF(AND(Tabela1[[#This Row],[nivel_risco]]="ALTO",Tabela1[[#This Row],[flag_inadimplente]] = "Sim"),"negada","aprovada")</f>
        <v>aprovada</v>
      </c>
      <c r="P399" s="12" t="str">
        <f>IF(AND(Tabela1[[#This Row],[credito_tomado]]&gt;50000,Tabela1[[#This Row],[flag_inadimplente]]="Sim"),"negada","aprovada")</f>
        <v>aprovada</v>
      </c>
      <c r="Q399" s="6" t="s">
        <v>83</v>
      </c>
      <c r="R399" s="12" t="str" cm="1">
        <f t="array" ref="R399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400" spans="1:18" ht="15.75" customHeight="1" x14ac:dyDescent="0.2">
      <c r="A400" s="2" t="s">
        <v>80</v>
      </c>
      <c r="B400" s="7" t="s">
        <v>780</v>
      </c>
      <c r="C400" s="1" t="s">
        <v>781</v>
      </c>
      <c r="D400" s="1" t="str">
        <f>TEXT(C400,"000\.000\.000\-00")</f>
        <v>000.000.078-00</v>
      </c>
      <c r="E400" s="2">
        <v>35</v>
      </c>
      <c r="F400" s="3">
        <v>33306</v>
      </c>
      <c r="G400" s="2" t="s">
        <v>782</v>
      </c>
      <c r="H400" s="2" t="s">
        <v>223</v>
      </c>
      <c r="I400" s="2" t="str">
        <f>PROPER(Tabela1[[#This Row],[regiao]])</f>
        <v>Terras Da Tempestade</v>
      </c>
      <c r="J400" s="8" t="s">
        <v>83</v>
      </c>
      <c r="K400" s="9" t="s">
        <v>83</v>
      </c>
      <c r="L400" s="2" t="s">
        <v>86</v>
      </c>
      <c r="M400" s="2" t="s">
        <v>83</v>
      </c>
      <c r="N400" s="2" t="str" cm="1">
        <f t="array" ref="N400">_xlfn.IFS(Tabela1[[#This Row],[qtde_]]="N/A", "N/A",Tabela1[[#This Row],[qtde_]]&lt;11,"BAIXO",Tabela1[[#This Row],[qtde_]]&lt;26,"MÉDIO",Tabela1[[#This Row],[qtde_]]&gt;=26,"ALTO")</f>
        <v>N/A</v>
      </c>
      <c r="O400" s="12" t="str">
        <f>IF(AND(Tabela1[[#This Row],[nivel_risco]]="ALTO",Tabela1[[#This Row],[flag_inadimplente]] = "Sim"),"negada","aprovada")</f>
        <v>aprovada</v>
      </c>
      <c r="P400" s="12" t="str">
        <f>IF(AND(Tabela1[[#This Row],[credito_tomado]]&gt;50000,Tabela1[[#This Row],[flag_inadimplente]]="Sim"),"negada","aprovada")</f>
        <v>aprovada</v>
      </c>
      <c r="Q400" s="6" t="s">
        <v>83</v>
      </c>
      <c r="R400" s="12" t="str" cm="1">
        <f t="array" ref="R400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401" spans="1:18" ht="15.75" customHeight="1" x14ac:dyDescent="0.2">
      <c r="A401" s="2" t="s">
        <v>80</v>
      </c>
      <c r="B401" s="7" t="s">
        <v>783</v>
      </c>
      <c r="C401" s="1">
        <v>7200</v>
      </c>
      <c r="D401" s="1" t="str">
        <f>TEXT(C401,"000\.000\.000\-00")</f>
        <v>000.000.072-00</v>
      </c>
      <c r="E401" s="2">
        <v>72</v>
      </c>
      <c r="F401" s="11">
        <v>19852</v>
      </c>
      <c r="G401" s="2" t="s">
        <v>197</v>
      </c>
      <c r="H401" s="2" t="s">
        <v>105</v>
      </c>
      <c r="I401" s="2" t="str">
        <f>PROPER(Tabela1[[#This Row],[regiao]])</f>
        <v>Terras Da Tempestade</v>
      </c>
      <c r="J401" s="8" t="s">
        <v>83</v>
      </c>
      <c r="K401" s="9" t="s">
        <v>83</v>
      </c>
      <c r="L401" s="2" t="s">
        <v>86</v>
      </c>
      <c r="M401" s="2" t="s">
        <v>83</v>
      </c>
      <c r="N401" s="2" t="str" cm="1">
        <f t="array" ref="N401">_xlfn.IFS(Tabela1[[#This Row],[qtde_]]="N/A", "N/A",Tabela1[[#This Row],[qtde_]]&lt;11,"BAIXO",Tabela1[[#This Row],[qtde_]]&lt;26,"MÉDIO",Tabela1[[#This Row],[qtde_]]&gt;=26,"ALTO")</f>
        <v>N/A</v>
      </c>
      <c r="O401" s="12" t="str">
        <f>IF(AND(Tabela1[[#This Row],[nivel_risco]]="ALTO",Tabela1[[#This Row],[flag_inadimplente]] = "Sim"),"negada","aprovada")</f>
        <v>aprovada</v>
      </c>
      <c r="P401" s="12" t="str">
        <f>IF(AND(Tabela1[[#This Row],[credito_tomado]]&gt;50000,Tabela1[[#This Row],[flag_inadimplente]]="Sim"),"negada","aprovada")</f>
        <v>aprovada</v>
      </c>
      <c r="Q401" s="6">
        <v>71000</v>
      </c>
      <c r="R401" s="12" t="str" cm="1">
        <f t="array" ref="R401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402" spans="1:18" ht="15.75" customHeight="1" x14ac:dyDescent="0.2">
      <c r="A402" s="2" t="s">
        <v>80</v>
      </c>
      <c r="B402" s="7" t="s">
        <v>784</v>
      </c>
      <c r="C402" s="1" t="s">
        <v>785</v>
      </c>
      <c r="D402" s="1" t="str">
        <f>TEXT(C402,"000\.000\.000\-00")</f>
        <v>000.000.035-00</v>
      </c>
      <c r="E402" s="2">
        <v>52</v>
      </c>
      <c r="F402" s="11">
        <v>27214</v>
      </c>
      <c r="G402" s="2" t="s">
        <v>786</v>
      </c>
      <c r="H402" s="2" t="s">
        <v>85</v>
      </c>
      <c r="I402" s="2" t="str">
        <f>PROPER(Tabela1[[#This Row],[regiao]])</f>
        <v>Campina</v>
      </c>
      <c r="J402" s="8" t="s">
        <v>83</v>
      </c>
      <c r="K402" s="9" t="s">
        <v>83</v>
      </c>
      <c r="L402" s="2" t="s">
        <v>83</v>
      </c>
      <c r="M402" s="2" t="s">
        <v>83</v>
      </c>
      <c r="N402" s="2" t="str" cm="1">
        <f t="array" ref="N402">_xlfn.IFS(Tabela1[[#This Row],[qtde_]]="N/A", "N/A",Tabela1[[#This Row],[qtde_]]&lt;11,"BAIXO",Tabela1[[#This Row],[qtde_]]&lt;26,"MÉDIO",Tabela1[[#This Row],[qtde_]]&gt;=26,"ALTO")</f>
        <v>N/A</v>
      </c>
      <c r="O402" s="12" t="str">
        <f>IF(AND(Tabela1[[#This Row],[nivel_risco]]="ALTO",Tabela1[[#This Row],[flag_inadimplente]] = "Sim"),"negada","aprovada")</f>
        <v>aprovada</v>
      </c>
      <c r="P402" s="12" t="str">
        <f>IF(AND(Tabela1[[#This Row],[credito_tomado]]&gt;50000,Tabela1[[#This Row],[flag_inadimplente]]="Sim"),"negada","aprovada")</f>
        <v>aprovada</v>
      </c>
      <c r="Q402" s="6">
        <v>6500</v>
      </c>
      <c r="R402" s="12" t="str" cm="1">
        <f t="array" ref="R402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403" spans="1:18" ht="15.75" customHeight="1" x14ac:dyDescent="0.2">
      <c r="A403" s="2" t="s">
        <v>80</v>
      </c>
      <c r="B403" s="7" t="s">
        <v>733</v>
      </c>
      <c r="C403" s="1">
        <v>3300</v>
      </c>
      <c r="D403" s="1" t="str">
        <f>TEXT(C403,"000\.000\.000\-00")</f>
        <v>000.000.033-00</v>
      </c>
      <c r="E403" s="2">
        <v>31</v>
      </c>
      <c r="F403" s="11">
        <v>34914</v>
      </c>
      <c r="G403" s="2" t="s">
        <v>779</v>
      </c>
      <c r="H403" s="2" t="s">
        <v>162</v>
      </c>
      <c r="I403" s="2" t="str">
        <f>PROPER(Tabela1[[#This Row],[regiao]])</f>
        <v>Ilhas De Ferro</v>
      </c>
      <c r="J403" s="8" t="s">
        <v>83</v>
      </c>
      <c r="K403" s="9" t="s">
        <v>83</v>
      </c>
      <c r="L403" s="2" t="s">
        <v>86</v>
      </c>
      <c r="M403" s="2" t="s">
        <v>83</v>
      </c>
      <c r="N403" s="2" t="str" cm="1">
        <f t="array" ref="N403">_xlfn.IFS(Tabela1[[#This Row],[qtde_]]="N/A", "N/A",Tabela1[[#This Row],[qtde_]]&lt;11,"BAIXO",Tabela1[[#This Row],[qtde_]]&lt;26,"MÉDIO",Tabela1[[#This Row],[qtde_]]&gt;=26,"ALTO")</f>
        <v>N/A</v>
      </c>
      <c r="O403" s="12" t="str">
        <f>IF(AND(Tabela1[[#This Row],[nivel_risco]]="ALTO",Tabela1[[#This Row],[flag_inadimplente]] = "Sim"),"negada","aprovada")</f>
        <v>aprovada</v>
      </c>
      <c r="P403" s="12" t="str">
        <f>IF(AND(Tabela1[[#This Row],[credito_tomado]]&gt;50000,Tabela1[[#This Row],[flag_inadimplente]]="Sim"),"negada","aprovada")</f>
        <v>aprovada</v>
      </c>
      <c r="Q403" s="6">
        <v>17500</v>
      </c>
      <c r="R403" s="12" t="str" cm="1">
        <f t="array" ref="R403">_xlfn.IFS(OR(Tabela1[[#This Row],[flag_inadimplente]]="N/A",Tabela1[[#This Row],[qtde_]]="N/A",Tabela1[[#This Row],[credito_tomado]]="N/A",Tabela1[[#This Row],[valor_solicitado]]="N/A"),"DATA",AND(Tabela1[[#This Row],[análise_risco]]="negada",Tabela1[[#This Row],[análise_crédito]]="negada"),"0",AND(Tabela1[[#This Row],[análise_risco]]="aprovada",Tabela1[[#This Row],[análise_crédito]]="aprovada",Tabela1[[#This Row],[status]]="Ativo"),Tabela1[[#This Row],[valor_solicitado]]*8/100)</f>
        <v>DATA</v>
      </c>
    </row>
    <row r="409" spans="1:18" ht="15.75" customHeight="1" x14ac:dyDescent="0.2">
      <c r="D409" s="5" t="s">
        <v>787</v>
      </c>
    </row>
  </sheetData>
  <conditionalFormatting sqref="R1:R1048576">
    <cfRule type="cellIs" dxfId="4" priority="1" operator="between">
      <formula>1</formula>
      <formula>10000000</formula>
    </cfRule>
    <cfRule type="containsText" dxfId="3" priority="2" operator="containsText" text="DATA">
      <formula>NOT(ISERROR(SEARCH("DATA",R1)))</formula>
    </cfRule>
    <cfRule type="containsErrors" dxfId="2" priority="4">
      <formula>ISERROR(R1)</formula>
    </cfRule>
    <cfRule type="beginsWith" dxfId="1" priority="7" operator="beginsWith" text="0">
      <formula>LEFT(R1,LEN("0"))="0"</formula>
    </cfRule>
  </conditionalFormatting>
  <conditionalFormatting sqref="T15">
    <cfRule type="beginsWith" dxfId="0" priority="3" operator="beginsWith" text="#N/D">
      <formula>LEFT(T15,LEN("#N/D"))="#N/D"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853E-5C27-4FE5-B27A-69101D4DD280}">
  <dimension ref="F4:J13"/>
  <sheetViews>
    <sheetView topLeftCell="H3" workbookViewId="0">
      <selection activeCell="J14" sqref="J14"/>
    </sheetView>
  </sheetViews>
  <sheetFormatPr defaultRowHeight="15" x14ac:dyDescent="0.2"/>
  <cols>
    <col min="6" max="10" width="39.01171875" style="25" customWidth="1"/>
  </cols>
  <sheetData>
    <row r="4" spans="6:10" x14ac:dyDescent="0.2">
      <c r="F4" s="24" t="s">
        <v>788</v>
      </c>
      <c r="G4" s="24" t="s">
        <v>789</v>
      </c>
      <c r="H4" s="24" t="s">
        <v>790</v>
      </c>
      <c r="I4" s="24" t="s">
        <v>791</v>
      </c>
      <c r="J4" s="24" t="s">
        <v>792</v>
      </c>
    </row>
    <row r="5" spans="6:10" ht="172.5" customHeight="1" x14ac:dyDescent="0.2">
      <c r="F5" s="24" t="s">
        <v>793</v>
      </c>
      <c r="G5" s="24" t="s">
        <v>794</v>
      </c>
      <c r="H5" s="24" t="s">
        <v>795</v>
      </c>
      <c r="I5" s="24" t="s">
        <v>796</v>
      </c>
      <c r="J5" s="24" t="s">
        <v>797</v>
      </c>
    </row>
    <row r="6" spans="6:10" x14ac:dyDescent="0.2">
      <c r="F6" s="24"/>
      <c r="G6" s="24"/>
      <c r="H6" s="24"/>
      <c r="I6" s="24"/>
      <c r="J6" s="24"/>
    </row>
    <row r="7" spans="6:10" x14ac:dyDescent="0.2">
      <c r="F7" s="24"/>
      <c r="G7" s="24"/>
      <c r="H7" s="24"/>
      <c r="I7" s="24"/>
      <c r="J7" s="24"/>
    </row>
    <row r="8" spans="6:10" x14ac:dyDescent="0.2">
      <c r="F8" s="24"/>
      <c r="G8" s="24"/>
      <c r="H8" s="24"/>
      <c r="I8" s="24"/>
      <c r="J8" s="24"/>
    </row>
    <row r="9" spans="6:10" x14ac:dyDescent="0.2">
      <c r="F9" s="24"/>
      <c r="G9" s="24"/>
      <c r="H9" s="24"/>
      <c r="I9" s="24"/>
      <c r="J9" s="24"/>
    </row>
    <row r="10" spans="6:10" x14ac:dyDescent="0.2">
      <c r="F10" s="24"/>
      <c r="G10" s="24"/>
      <c r="H10" s="24"/>
      <c r="I10" s="24"/>
      <c r="J10" s="24"/>
    </row>
    <row r="11" spans="6:10" x14ac:dyDescent="0.2">
      <c r="F11" s="24"/>
      <c r="G11" s="24"/>
      <c r="H11" s="24"/>
      <c r="I11" s="24"/>
      <c r="J11" s="24"/>
    </row>
    <row r="12" spans="6:10" x14ac:dyDescent="0.2">
      <c r="F12" s="24"/>
      <c r="G12" s="24"/>
      <c r="H12" s="24"/>
      <c r="I12" s="24"/>
      <c r="J12" s="24"/>
    </row>
    <row r="13" spans="6:10" x14ac:dyDescent="0.2">
      <c r="F13" s="24"/>
      <c r="G13" s="24"/>
      <c r="H13" s="24"/>
      <c r="I13" s="24"/>
      <c r="J13" s="2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TRATAMENTO</vt:lpstr>
      <vt:lpstr>REGISTRO_LIMPEZA</vt:lpstr>
      <vt:lpstr>DADOS_LIMPOS</vt:lpstr>
      <vt:lpstr>ANÁLISE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Vicenzo Giovanetti</cp:lastModifiedBy>
  <cp:revision/>
  <dcterms:created xsi:type="dcterms:W3CDTF">2026-09-04T18:22:27Z</dcterms:created>
  <dcterms:modified xsi:type="dcterms:W3CDTF">2026-09-13T14:29:12Z</dcterms:modified>
  <cp:category/>
  <cp:contentStatus/>
</cp:coreProperties>
</file>