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4DEB8BD1-75CF-4345-94B8-1BD4B9AE71F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Ex.excel.01" sheetId="1" r:id="rId1"/>
    <sheet name="Ex.excel.02" sheetId="2" r:id="rId2"/>
    <sheet name="Ex.excel03" sheetId="3" r:id="rId3"/>
    <sheet name="Ex.excel04" sheetId="4" r:id="rId4"/>
  </sheets>
  <definedNames>
    <definedName name="_xlnm._FilterDatabase" localSheetId="0" hidden="1">'Ex.excel.01'!$A$2:$E$2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4" l="1"/>
  <c r="F3" i="4"/>
  <c r="F4" i="4"/>
  <c r="F5" i="4"/>
  <c r="F7" i="4"/>
  <c r="F6" i="3"/>
  <c r="F3" i="3"/>
  <c r="G3" i="3" s="1" a="1"/>
  <c r="G3" i="3" s="1"/>
  <c r="F4" i="3"/>
  <c r="G4" i="3" s="1" a="1"/>
  <c r="G4" i="3" s="1"/>
  <c r="F5" i="3"/>
  <c r="G5" i="3" s="1" a="1"/>
  <c r="G5" i="3" s="1"/>
  <c r="G6" i="3" a="1"/>
  <c r="G6" i="3" s="1"/>
  <c r="F7" i="3"/>
  <c r="G7" i="3" s="1" a="1"/>
  <c r="G7" i="3" s="1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<sst xmlns="http://schemas.openxmlformats.org/spreadsheetml/2006/main" count="71" uniqueCount="60">
  <si>
    <t>tabela de produtos da cafeteria</t>
  </si>
  <si>
    <t>id_produto</t>
  </si>
  <si>
    <t>tipo_café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</si>
  <si>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</si>
  <si>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</si>
  <si>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</si>
  <si>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</si>
  <si>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</si>
  <si>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</si>
  <si>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</si>
  <si>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</si>
  <si>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</si>
  <si>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</si>
  <si>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Funcionários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</si>
  <si>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</si>
  <si>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</si>
  <si>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</si>
  <si>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</si>
  <si>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</si>
  <si>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</si>
  <si>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</si>
  <si>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</si>
  <si>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</si>
  <si>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</si>
  <si>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</si>
  <si>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</si>
  <si>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</si>
  <si>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</si>
  <si>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</si>
  <si>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</si>
  <si>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</si>
  <si>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</si>
  <si>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 xml:space="preserve">Nota 1 trimestre 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</si>
  <si>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</si>
  <si>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</si>
  <si>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</si>
  <si>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</si>
  <si>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</si>
  <si>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</si>
  <si>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</si>
  <si>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</si>
  <si>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</si>
  <si>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</si>
  <si>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</si>
  <si>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</si>
  <si>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</si>
  <si>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</si>
  <si>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</si>
  <si>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</si>
  <si>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</si>
  <si>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</si>
  <si>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</si>
  <si>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dos Santos</t>
  </si>
  <si>
    <t>Nissan Silva</t>
  </si>
  <si>
    <t>Ferrari Enzo</t>
  </si>
  <si>
    <t>Requisitos para ser contratado</t>
  </si>
  <si>
    <t>Ter idade maior ou igual a 18 anos</t>
  </si>
  <si>
    <t>Ter ensino médio completo</t>
  </si>
  <si>
    <t>Ter curso vendedor</t>
  </si>
  <si>
    <t>Ter no mín 3 anos de experiência na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</si>
</sst>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0.0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6"/>
      <color rgb="FFFFFFFF"/>
      <name val="Calibri"/>
      <scheme val="minor"/>
    </font>
    <font>
      <sz val="11"/>
      <color theme="0"/>
      <name val="Calibri"/>
      <charset val="1"/>
    </font>
    <font>
      <b/>
      <sz val="14"/>
      <color rgb="FFFFFFFF"/>
      <name val="Calibri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3" borderId="4" xfId="0" applyFill="1" applyBorder="1"/>
    <xf numFmtId="0" fontId="0" fillId="3" borderId="0" xfId="0" applyFill="1" applyBorder="1"/>
    <xf numFmtId="164" fontId="0" fillId="3" borderId="0" xfId="0" applyNumberFormat="1" applyFill="1" applyBorder="1"/>
    <xf numFmtId="0" fontId="0" fillId="3" borderId="5" xfId="0" applyFill="1" applyBorder="1"/>
    <xf numFmtId="0" fontId="0" fillId="0" borderId="4" xfId="0" applyBorder="1"/>
    <xf numFmtId="0" fontId="0" fillId="0" borderId="0" xfId="0" applyBorder="1"/>
    <xf numFmtId="164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0" borderId="0" xfId="0" applyAlignment="1">
      <alignment horizontal="center"/>
    </xf>
    <xf numFmtId="0" fontId="4" fillId="0" borderId="0" xfId="0" applyFont="1"/>
    <xf numFmtId="165" fontId="0" fillId="0" borderId="0" xfId="0" applyNumberFormat="1"/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1">
    <cellStyle name="Normal" xfId="0" builtinId="0"/>
  </cellStyles>
  <dxfs count="15"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9"/>
      </font>
    </dxf>
    <dxf>
      <font>
        <color rgb="FFFF0000"/>
      </font>
    </dxf>
    <dxf>
      <numFmt numFmtId="0" formatCode="General"/>
      <alignment horizontal="center"/>
    </dxf>
    <dxf>
      <numFmt numFmtId="165" formatCode="0.0"/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numFmt numFmtId="0" formatCode="General"/>
    </dxf>
    <dxf>
      <alignment horizontal="center"/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A4520-FEFE-4D84-95EE-7156BAAA4558}" name="Tabela2" displayName="Tabela2" ref="A2:D8" totalsRowShown="0">
  <autoFilter ref="A2:D8" xr:uid="{79EA4520-FEFE-4D84-95EE-7156BAAA4558}"/>
  <tableColumns count="4">
    <tableColumn id="1" xr3:uid="{8ED32BF6-E67B-4806-912C-B2799AE9EB71}" name="Funcionários"/>
    <tableColumn id="2" xr3:uid="{41B1B87C-E49F-4134-AC12-4850CEDABD24}" name="Produto"/>
    <tableColumn id="3" xr3:uid="{549BCA79-BF1F-4A7A-9F9C-0B5375A3EBD5}" name="Vendas" dataDxfId="14"/>
    <tableColumn id="4" xr3:uid="{FADBAFA7-2639-4A0C-9B77-6B9A211AACFB}" name="Resultado" dataDxfId="13">
      <calculatedColumnFormula array="1">_xlfn.IFS(C3&gt;5,"ótimo",C3=5,"regular",C3&lt;5,"péssimo")</calculatedColumnFormula>
    </tableColumn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34EDD0-2D09-40FA-B279-46032B2A5C14}" name="Tabela6" displayName="Tabela6" ref="A2:G7" totalsRowShown="0">
  <autoFilter ref="A2:G7" xr:uid="{9A34EDD0-2D09-40FA-B279-46032B2A5C14}"/>
  <tableColumns count="7">
    <tableColumn id="1" xr3:uid="{D2DB8531-909C-4ED8-98F9-9E19630FA0EC}" name="RA"/>
    <tableColumn id="2" xr3:uid="{97369435-7307-4BA5-BE51-D014B50100E5}" name="Nome de aluno"/>
    <tableColumn id="3" xr3:uid="{3D5F1FEF-3E24-46C4-8383-97B35D52D249}" name="Nota 1 trimestre "/>
    <tableColumn id="4" xr3:uid="{719D8E82-980C-4D81-900A-1AB711530C32}" name="Nota 2 trimestre"/>
    <tableColumn id="5" xr3:uid="{1D5FA4AE-6D5E-4176-BC91-A6B92744CF4D}" name="Nota 3 trimestre"/>
    <tableColumn id="6" xr3:uid="{EA6F0181-33B2-4150-A41E-FA28519CF2DC}" name="Média final" dataDxfId="8">
      <calculatedColumnFormula>SUM(Tabela6[[#This Row],[Nota 1 trimestre ]:[Nota 3 trimestre]])/3</calculatedColumnFormula>
    </tableColumn>
    <tableColumn id="7" xr3:uid="{EC4666F5-C35F-447D-B898-8125A63C1E0A}" name="Resultado" dataDxfId="7">
      <calculatedColumnFormula array="1">_xlfn.IFS(Tabela6[[#This Row],[Média final]]&lt;6,"reprovado",Tabela6[[#This Row],[Média final]]&gt;=6,"aprovado")</calculatedColumnFormula>
    </tableColumn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AE97C9-434A-4511-A854-6C8BDDBA1A43}" name="Tabela7" displayName="Tabela7" ref="A2:F7" totalsRowShown="0">
  <autoFilter ref="A2:F7" xr:uid="{1FAE97C9-434A-4511-A854-6C8BDDBA1A43}"/>
  <tableColumns count="6">
    <tableColumn id="1" xr3:uid="{25624DC5-BEE4-4DED-994C-E462D8B964AF}" name="Nome"/>
    <tableColumn id="2" xr3:uid="{FB51741E-DB60-493C-9152-EE6CC9918808}" name="Idade" dataDxfId="4"/>
    <tableColumn id="3" xr3:uid="{765A6A7F-C380-4D5E-9DFD-C4079D494A27}" name="Ensino Médio" dataDxfId="3"/>
    <tableColumn id="4" xr3:uid="{EEA1755B-B4F7-4699-A6DA-6FC436A7C483}" name="Curso técnico" dataDxfId="2"/>
    <tableColumn id="5" xr3:uid="{60FC9160-CB7B-47C6-BB05-295039822923}" name="Anos de experiência na área" dataDxfId="1"/>
    <tableColumn id="6" xr3:uid="{BB0A06B4-4D2E-46DF-A1D5-DFA887D31ED7}" name="Situação" dataDxfId="0">
      <calculatedColumnFormula>IF(AND(Tabela7[[#This Row],[Idade]]&gt;=18,Tabela7[[#This Row],[Ensino Médio]]="Sim",Tabela7[[#This Row],[Curso técnico]]="Sim",Tabela7[[#This Row],[Anos de experiência na área]]&gt;=3),"Apto","Não apto")</calculatedColumnFormula>
    </tableColumn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47A664-A015-4AD3-B2C2-ABF94E7F56A2}" name="Tabela9" displayName="Tabela9" ref="A15:A19" totalsRowShown="0">
  <autoFilter ref="A15:A19" xr:uid="{BD47A664-A015-4AD3-B2C2-ABF94E7F56A2}"/>
  <tableColumns count="1">
    <tableColumn id="1" xr3:uid="{8B3E799F-6DB1-4122-9CAA-581153304763}" name="Requisitos para ser contrat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F3FA3D-7822-4D0B-A5E2-542EC04BF487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poFeKr2V-3XDOhGsIaLf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K8" sqref="K8"/>
    </sheetView>
  </sheetViews>
  <sheetFormatPr defaultRowHeight="15"/>
  <cols>
    <col min="1" max="5" width="13.5703125" customWidth="1"/>
  </cols>
  <sheetData>
    <row r="1" spans="1:5" ht="25.5" customHeight="1">
      <c r="A1" s="25" t="s">
        <v>0</v>
      </c>
      <c r="B1" s="26"/>
      <c r="C1" s="26"/>
      <c r="D1" s="26"/>
      <c r="E1" s="27"/>
    </row>
    <row r="2" spans="1: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4">
        <v>2</v>
      </c>
      <c r="B3" s="5" t="s">
        <v>6</v>
      </c>
      <c r="C3" s="5" t="s">
        <v>7</v>
      </c>
      <c r="D3" s="6">
        <v>29.79</v>
      </c>
      <c r="E3" s="7">
        <v>20</v>
      </c>
    </row>
    <row r="4" spans="1:5">
      <c r="A4" s="8">
        <v>1</v>
      </c>
      <c r="B4" s="9" t="s">
        <v>6</v>
      </c>
      <c r="C4" s="9" t="s">
        <v>7</v>
      </c>
      <c r="D4" s="10">
        <v>3.89</v>
      </c>
      <c r="E4" s="11">
        <v>10</v>
      </c>
    </row>
    <row r="5" spans="1:5">
      <c r="A5" s="4">
        <v>3</v>
      </c>
      <c r="B5" s="5" t="s">
        <v>8</v>
      </c>
      <c r="C5" s="5" t="s">
        <v>9</v>
      </c>
      <c r="D5" s="6">
        <v>3.38</v>
      </c>
      <c r="E5" s="7">
        <v>30</v>
      </c>
    </row>
    <row r="6" spans="1:5">
      <c r="A6" s="12">
        <v>4</v>
      </c>
      <c r="B6" s="13" t="s">
        <v>10</v>
      </c>
      <c r="C6" s="13" t="s">
        <v>11</v>
      </c>
      <c r="D6" s="14">
        <v>13.43</v>
      </c>
      <c r="E6" s="15">
        <v>40</v>
      </c>
    </row>
  </sheetData>
  <autoFilter ref="A2:E6" xr:uid="{00000000-0001-0000-0000-000000000000}">
    <sortState xmlns:xlrd2="http://schemas.microsoft.com/office/spreadsheetml/2017/richdata2" ref="A3:E6">
      <sortCondition ref="A2:A6"/>
    </sortState>
  </autoFilter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B510-44E7-455B-A25D-96C3FBD1C667}">
  <dimension ref="A1:D8"/>
  <sheetViews>
    <sheetView workbookViewId="0">
      <selection activeCell="G4" sqref="G4"/>
    </sheetView>
  </sheetViews>
  <sheetFormatPr defaultRowHeight="15"/>
  <cols>
    <col min="1" max="1" width="14.85546875" customWidth="1"/>
    <col min="2" max="4" width="13.5703125" customWidth="1"/>
  </cols>
  <sheetData>
    <row r="1" spans="1:4">
      <c r="A1" s="21" t="s">
        <v>12</v>
      </c>
      <c r="B1" s="22"/>
      <c r="C1" s="22"/>
      <c r="D1" s="22"/>
    </row>
    <row r="2" spans="1:4">
      <c r="A2" t="s">
        <v>13</v>
      </c>
      <c r="B2" t="s">
        <v>14</v>
      </c>
      <c r="C2" t="s">
        <v>15</v>
      </c>
      <c r="D2" t="s">
        <v>16</v>
      </c>
    </row>
    <row r="3" spans="1:4">
      <c r="A3" t="s">
        <v>17</v>
      </c>
      <c r="B3" t="s">
        <v>18</v>
      </c>
      <c r="C3" s="16">
        <v>8</v>
      </c>
      <c r="D3" t="str" cm="1">
        <f t="array" ref="D3">_xlfn.IFS(C3&gt;5,"ótimo",C3=5,"regular",C3&lt;5,"péssimo")</f>
        <v>ótimo</v>
      </c>
    </row>
    <row r="4" spans="1:4">
      <c r="A4" t="s">
        <v>19</v>
      </c>
      <c r="B4" t="s">
        <v>20</v>
      </c>
      <c r="C4" s="16">
        <v>5</v>
      </c>
      <c r="D4" t="str" cm="1">
        <f t="array" ref="D4">_xlfn.IFS(C4&gt;5,"ótimo",C4=5,"regular",C4&lt;5,"péssimo")</f>
        <v>regular</v>
      </c>
    </row>
    <row r="5" spans="1:4">
      <c r="A5" t="s">
        <v>21</v>
      </c>
      <c r="B5" t="s">
        <v>22</v>
      </c>
      <c r="C5" s="16">
        <v>9</v>
      </c>
      <c r="D5" t="str" cm="1">
        <f t="array" ref="D5">_xlfn.IFS(C5&gt;5,"ótimo",C5=5,"regular",C5&lt;5,"péssimo")</f>
        <v>ótimo</v>
      </c>
    </row>
    <row r="6" spans="1:4">
      <c r="A6" t="s">
        <v>23</v>
      </c>
      <c r="B6" t="s">
        <v>24</v>
      </c>
      <c r="C6" s="16">
        <v>4</v>
      </c>
      <c r="D6" t="str" cm="1">
        <f t="array" ref="D6">_xlfn.IFS(C6&gt;5,"ótimo",C6=5,"regular",C6&lt;5,"péssimo")</f>
        <v>péssimo</v>
      </c>
    </row>
    <row r="7" spans="1:4">
      <c r="A7" t="s">
        <v>25</v>
      </c>
      <c r="B7" t="s">
        <v>26</v>
      </c>
      <c r="C7" s="16">
        <v>6</v>
      </c>
      <c r="D7" t="str" cm="1">
        <f t="array" ref="D7">_xlfn.IFS(C7&gt;5,"ótimo",C7=5,"regular",C7&lt;5,"péssimo")</f>
        <v>ótimo</v>
      </c>
    </row>
    <row r="8" spans="1:4">
      <c r="A8" t="s">
        <v>27</v>
      </c>
      <c r="B8" t="s">
        <v>28</v>
      </c>
      <c r="C8" s="16">
        <v>3</v>
      </c>
      <c r="D8" t="str" cm="1">
        <f t="array" ref="D8">_xlfn.IFS(C8&gt;5,"ótimo",C8=5,"regular",C8&lt;5,"péssimo")</f>
        <v>péssimo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A3A7-0A1C-4682-B94C-2ADAA8BFB1EE}">
  <dimension ref="A1:G7"/>
  <sheetViews>
    <sheetView workbookViewId="0">
      <selection activeCell="P12" sqref="P12"/>
    </sheetView>
  </sheetViews>
  <sheetFormatPr defaultRowHeight="15"/>
  <cols>
    <col min="1" max="7" width="17.42578125" customWidth="1"/>
  </cols>
  <sheetData>
    <row r="1" spans="1:7" ht="21" customHeight="1">
      <c r="A1" s="23" t="s">
        <v>29</v>
      </c>
      <c r="B1" s="24"/>
      <c r="C1" s="24"/>
      <c r="D1" s="24"/>
      <c r="E1" s="24"/>
      <c r="F1" s="24"/>
      <c r="G1" s="24"/>
    </row>
    <row r="2" spans="1:7">
      <c r="A2" t="s">
        <v>30</v>
      </c>
      <c r="B2" t="s">
        <v>31</v>
      </c>
      <c r="C2" t="s">
        <v>32</v>
      </c>
      <c r="D2" s="17" t="s">
        <v>33</v>
      </c>
      <c r="E2" s="17" t="s">
        <v>34</v>
      </c>
      <c r="F2" t="s">
        <v>35</v>
      </c>
      <c r="G2" t="s">
        <v>16</v>
      </c>
    </row>
    <row r="3" spans="1:7">
      <c r="A3">
        <v>2001</v>
      </c>
      <c r="B3" t="s">
        <v>36</v>
      </c>
      <c r="C3">
        <v>5</v>
      </c>
      <c r="D3">
        <v>6</v>
      </c>
      <c r="E3">
        <v>8</v>
      </c>
      <c r="F3" s="18">
        <f>SUM(Tabela6[[#This Row],[Nota 1 trimestre ]:[Nota 3 trimestre]])/3</f>
        <v>6.333333333333333</v>
      </c>
      <c r="G3" s="16" t="str" cm="1">
        <f t="array" ref="G3">_xlfn.IFS(Tabela6[[#This Row],[Média final]]&lt;6,"reprovado",Tabela6[[#This Row],[Média final]]&gt;=6,"aprovado")</f>
        <v>aprovado</v>
      </c>
    </row>
    <row r="4" spans="1:7">
      <c r="A4">
        <v>2002</v>
      </c>
      <c r="B4" t="s">
        <v>37</v>
      </c>
      <c r="C4">
        <v>10</v>
      </c>
      <c r="D4">
        <v>7</v>
      </c>
      <c r="E4">
        <v>8</v>
      </c>
      <c r="F4" s="18">
        <f>SUM(Tabela6[[#This Row],[Nota 1 trimestre ]:[Nota 3 trimestre]])/3</f>
        <v>8.3333333333333339</v>
      </c>
      <c r="G4" s="16" t="str" cm="1">
        <f t="array" ref="G4">_xlfn.IFS(Tabela6[[#This Row],[Média final]]&lt;6,"reprovado",Tabela6[[#This Row],[Média final]]&gt;=6,"aprovado")</f>
        <v>aprovado</v>
      </c>
    </row>
    <row r="5" spans="1:7">
      <c r="A5">
        <v>2003</v>
      </c>
      <c r="B5" t="s">
        <v>38</v>
      </c>
      <c r="C5">
        <v>5</v>
      </c>
      <c r="D5">
        <v>2</v>
      </c>
      <c r="E5">
        <v>8</v>
      </c>
      <c r="F5" s="18">
        <f>SUM(Tabela6[[#This Row],[Nota 1 trimestre ]:[Nota 3 trimestre]])/3</f>
        <v>5</v>
      </c>
      <c r="G5" s="16" t="str" cm="1">
        <f t="array" ref="G5">_xlfn.IFS(Tabela6[[#This Row],[Média final]]&lt;6,"reprovado",Tabela6[[#This Row],[Média final]]&gt;=6,"aprovado")</f>
        <v>reprovado</v>
      </c>
    </row>
    <row r="6" spans="1:7">
      <c r="A6">
        <v>2004</v>
      </c>
      <c r="B6" t="s">
        <v>39</v>
      </c>
      <c r="C6">
        <v>2</v>
      </c>
      <c r="D6">
        <v>1</v>
      </c>
      <c r="E6">
        <v>3</v>
      </c>
      <c r="F6" s="18">
        <f>SUM(Tabela6[[#This Row],[Nota 1 trimestre ]:[Nota 3 trimestre]])/3</f>
        <v>2</v>
      </c>
      <c r="G6" s="16" t="str" cm="1">
        <f t="array" ref="G6">_xlfn.IFS(Tabela6[[#This Row],[Média final]]&lt;6,"reprovado",Tabela6[[#This Row],[Média final]]&gt;=6,"aprovado")</f>
        <v>reprovado</v>
      </c>
    </row>
    <row r="7" spans="1:7">
      <c r="A7">
        <v>2005</v>
      </c>
      <c r="B7" t="s">
        <v>40</v>
      </c>
      <c r="C7">
        <v>4</v>
      </c>
      <c r="D7">
        <v>7</v>
      </c>
      <c r="E7">
        <v>8</v>
      </c>
      <c r="F7" s="18">
        <f>SUM(Tabela6[[#This Row],[Nota 1 trimestre ]:[Nota 3 trimestre]])/3</f>
        <v>6.333333333333333</v>
      </c>
      <c r="G7" s="16" t="str" cm="1">
        <f t="array" ref="G7">_xlfn.IFS(Tabela6[[#This Row],[Média final]]&lt;6,"reprovado",Tabela6[[#This Row],[Média final]]&gt;=6,"aprovado")</f>
        <v>aprovado</v>
      </c>
    </row>
  </sheetData>
  <mergeCells count="1">
    <mergeCell ref="A1:G1"/>
  </mergeCells>
  <conditionalFormatting sqref="C3:F7">
    <cfRule type="cellIs" dxfId="12" priority="5" operator="lessThan">
      <formula>6</formula>
    </cfRule>
  </conditionalFormatting>
  <conditionalFormatting sqref="G3:G7">
    <cfRule type="containsText" dxfId="11" priority="4" operator="containsText" text="aprovado">
      <formula>NOT(ISERROR(SEARCH("aprovado",G3)))</formula>
    </cfRule>
  </conditionalFormatting>
  <conditionalFormatting sqref="G5:G6">
    <cfRule type="notContainsText" dxfId="10" priority="3" operator="notContains" text="aprovado">
      <formula>ISERROR(SEARCH("aprovado",G5))</formula>
    </cfRule>
  </conditionalFormatting>
  <conditionalFormatting sqref="C3:F7">
    <cfRule type="cellIs" dxfId="9" priority="1" operator="greaterThanOrEqual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1428-FC64-483E-A5FA-AA7787049004}">
  <dimension ref="A1:F19"/>
  <sheetViews>
    <sheetView tabSelected="1" workbookViewId="0">
      <selection activeCell="E8" sqref="E8"/>
    </sheetView>
  </sheetViews>
  <sheetFormatPr defaultRowHeight="15"/>
  <cols>
    <col min="1" max="1" width="37.5703125" customWidth="1"/>
    <col min="2" max="4" width="18" customWidth="1"/>
    <col min="5" max="5" width="29" customWidth="1"/>
    <col min="6" max="6" width="18" customWidth="1"/>
  </cols>
  <sheetData>
    <row r="1" spans="1:6" ht="22.5" customHeight="1">
      <c r="A1" s="19" t="s">
        <v>41</v>
      </c>
      <c r="B1" s="20"/>
      <c r="C1" s="20"/>
      <c r="D1" s="20"/>
      <c r="E1" s="20"/>
      <c r="F1" s="20"/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t="s">
        <v>48</v>
      </c>
      <c r="B3" s="16">
        <v>17</v>
      </c>
      <c r="C3" s="16" t="s">
        <v>49</v>
      </c>
      <c r="D3" s="16" t="s">
        <v>50</v>
      </c>
      <c r="E3" s="16">
        <v>1</v>
      </c>
      <c r="F3" s="16" t="str">
        <f>IF(AND(Tabela7[[#This Row],[Idade]]&gt;=18,Tabela7[[#This Row],[Ensino Médio]]="Sim",Tabela7[[#This Row],[Curso técnico]]="Sim",Tabela7[[#This Row],[Anos de experiência na área]]&gt;=3),"Apto","Não apto")</f>
        <v>Não apto</v>
      </c>
    </row>
    <row r="4" spans="1:6">
      <c r="A4" t="s">
        <v>51</v>
      </c>
      <c r="B4" s="16">
        <v>24</v>
      </c>
      <c r="C4" s="16" t="s">
        <v>50</v>
      </c>
      <c r="D4" s="16" t="s">
        <v>50</v>
      </c>
      <c r="E4" s="16">
        <v>3</v>
      </c>
      <c r="F4" s="16" t="str">
        <f>IF(AND(Tabela7[[#This Row],[Idade]]&gt;=18,Tabela7[[#This Row],[Ensino Médio]]="Sim",Tabela7[[#This Row],[Curso técnico]]="Sim",Tabela7[[#This Row],[Anos de experiência na área]]&gt;=3),"Apto","Não apto")</f>
        <v>Apto</v>
      </c>
    </row>
    <row r="5" spans="1:6">
      <c r="A5" t="s">
        <v>52</v>
      </c>
      <c r="B5" s="16">
        <v>28</v>
      </c>
      <c r="C5" s="16" t="s">
        <v>50</v>
      </c>
      <c r="D5" s="16" t="s">
        <v>50</v>
      </c>
      <c r="E5" s="16">
        <v>4</v>
      </c>
      <c r="F5" s="16" t="str">
        <f>IF(AND(Tabela7[[#This Row],[Idade]]&gt;=18,Tabela7[[#This Row],[Ensino Médio]]="Sim",Tabela7[[#This Row],[Curso técnico]]="Sim",Tabela7[[#This Row],[Anos de experiência na área]]&gt;=3),"Apto","Não apto")</f>
        <v>Apto</v>
      </c>
    </row>
    <row r="6" spans="1:6">
      <c r="A6" t="s">
        <v>53</v>
      </c>
      <c r="B6" s="16">
        <v>18</v>
      </c>
      <c r="C6" s="16" t="s">
        <v>50</v>
      </c>
      <c r="D6" s="16" t="s">
        <v>49</v>
      </c>
      <c r="E6" s="16">
        <v>1</v>
      </c>
      <c r="F6" s="16" t="str">
        <f>IF(AND(Tabela7[[#This Row],[Idade]]&gt;=18,Tabela7[[#This Row],[Ensino Médio]]="Sim",Tabela7[[#This Row],[Curso técnico]]="Sim",Tabela7[[#This Row],[Anos de experiência na área]]&gt;=3),"Apto","Não apto")</f>
        <v>Não apto</v>
      </c>
    </row>
    <row r="7" spans="1:6">
      <c r="A7" t="s">
        <v>54</v>
      </c>
      <c r="B7" s="16">
        <v>22</v>
      </c>
      <c r="C7" s="16" t="s">
        <v>50</v>
      </c>
      <c r="D7" s="16" t="s">
        <v>50</v>
      </c>
      <c r="E7" s="16">
        <v>2</v>
      </c>
      <c r="F7" s="16" t="str">
        <f>IF(AND(Tabela7[[#This Row],[Idade]]&gt;=18,Tabela7[[#This Row],[Ensino Médio]]="Sim",Tabela7[[#This Row],[Curso técnico]]="Sim",Tabela7[[#This Row],[Anos de experiência na área]]&gt;=3),"Apto","Não apto")</f>
        <v>Não apto</v>
      </c>
    </row>
    <row r="15" spans="1:6">
      <c r="A15" t="s">
        <v>55</v>
      </c>
    </row>
    <row r="16" spans="1:6">
      <c r="A16" t="s">
        <v>56</v>
      </c>
    </row>
    <row r="17" spans="1:1">
      <c r="A17" t="s">
        <v>57</v>
      </c>
    </row>
    <row r="18" spans="1:1">
      <c r="A18" t="s">
        <v>58</v>
      </c>
    </row>
    <row r="19" spans="1:1">
      <c r="A19" t="s">
        <v>59</v>
      </c>
    </row>
  </sheetData>
  <mergeCells count="1">
    <mergeCell ref="A1:F1"/>
  </mergeCells>
  <conditionalFormatting sqref="F3:F7">
    <cfRule type="containsText" dxfId="6" priority="3" operator="containsText" text="Não apto">
      <formula>NOT(ISERROR(SEARCH("Não apto",F3)))</formula>
    </cfRule>
  </conditionalFormatting>
  <conditionalFormatting sqref="F3:F7">
    <cfRule type="beginsWith" dxfId="5" priority="1" operator="beginsWith" text="Apto">
      <formula>LEFT(F3,LEN("Apto"))="Apto"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2026-09-02T17:14:10Z</dcterms:created>
  <dcterms:modified xsi:type="dcterms:W3CDTF">2026-09-04T03:35:04Z</dcterms:modified>
  <cp:category/>
  <cp:contentStatus/>
</cp:coreProperties>
</file>